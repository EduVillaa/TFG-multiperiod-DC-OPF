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f4b4c107b736ef/Programación/Project/"/>
    </mc:Choice>
  </mc:AlternateContent>
  <xr:revisionPtr revIDLastSave="3430" documentId="14_{D584702F-B3CD-3F47-A25C-44363057DD2A}" xr6:coauthVersionLast="47" xr6:coauthVersionMax="47" xr10:uidLastSave="{9DAF743B-9B8D-2D44-89D3-5D07FFAFBB8F}"/>
  <bookViews>
    <workbookView xWindow="0" yWindow="680" windowWidth="34200" windowHeight="21460" tabRatio="714" xr2:uid="{36617186-47CB-F249-899F-182F2423F0BD}"/>
  </bookViews>
  <sheets>
    <sheet name="Net_Buses" sheetId="5" r:id="rId1"/>
    <sheet name="Net_Lines" sheetId="6" r:id="rId2"/>
    <sheet name="Grid_connection" sheetId="18" r:id="rId3"/>
    <sheet name="Gen_Dispatchable" sheetId="7" r:id="rId4"/>
    <sheet name="Gen_PV_and_Wind" sheetId="8" r:id="rId5"/>
    <sheet name="StorageUnit" sheetId="13" r:id="rId6"/>
  </sheets>
  <definedNames>
    <definedName name="PV_Day">#REF!</definedName>
    <definedName name="PV_Static">#REF!</definedName>
    <definedName name="PV_Week">#REF!</definedName>
    <definedName name="RenewProfilesList">#REF!</definedName>
    <definedName name="WIND_Day">#REF!</definedName>
    <definedName name="WIND_Static">#REF!</definedName>
    <definedName name="WIND_Week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7" l="1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8" i="7"/>
  <c r="R16" i="7"/>
  <c r="R6" i="7"/>
  <c r="R7" i="7" l="1"/>
  <c r="R5" i="7"/>
  <c r="R4" i="7"/>
  <c r="R38" i="7" l="1"/>
  <c r="R37" i="7"/>
  <c r="R36" i="7"/>
  <c r="R35" i="7"/>
  <c r="R34" i="7"/>
  <c r="R33" i="7"/>
  <c r="R32" i="7"/>
  <c r="R31" i="7"/>
  <c r="R30" i="7"/>
  <c r="R29" i="7"/>
  <c r="R28" i="7"/>
  <c r="R27" i="7"/>
  <c r="R26" i="7"/>
  <c r="R25" i="7"/>
  <c r="R24" i="7"/>
  <c r="R23" i="7"/>
  <c r="R22" i="7"/>
  <c r="R21" i="7"/>
  <c r="R20" i="7"/>
  <c r="R19" i="7"/>
  <c r="R18" i="7"/>
  <c r="R17" i="7"/>
  <c r="R15" i="7"/>
  <c r="R14" i="7"/>
  <c r="R13" i="7"/>
  <c r="R12" i="7"/>
  <c r="R11" i="7"/>
  <c r="R10" i="7"/>
  <c r="R9" i="7"/>
  <c r="R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Eduardo</author>
  </authors>
  <commentList>
    <comment ref="E3" authorId="0" shapeId="0" xr:uid="{2BD90EDD-3BF0-404B-8C59-998A23D91E3E}">
      <text>
        <r>
          <rPr>
            <b/>
            <sz val="10"/>
            <color rgb="FF000000"/>
            <rFont val="Tahoma"/>
            <family val="2"/>
          </rPr>
          <t>If left empty, the line will have a thermal limit of 1e6 MW</t>
        </r>
        <r>
          <rPr>
            <sz val="10"/>
            <color rgb="FF000000"/>
            <rFont val="Aptos Narrow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Eduardo</author>
  </authors>
  <commentList>
    <comment ref="D3" authorId="0" shapeId="0" xr:uid="{F3CB86EB-21E6-2045-B42C-5C20C0EAC1A1}">
      <text>
        <r>
          <rPr>
            <b/>
            <sz val="10"/>
            <color rgb="FF000000"/>
            <rFont val="Tahoma"/>
            <family val="2"/>
          </rPr>
          <t>Takes a value of 0 if left empty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F3" authorId="0" shapeId="0" xr:uid="{73D2906A-7B4C-1145-9FE2-9C0F1AD2F03E}">
      <text>
        <r>
          <rPr>
            <b/>
            <sz val="14"/>
            <color rgb="FF000000"/>
            <rFont val="Aptos Narrow"/>
          </rPr>
          <t>Takes a value of 1 if left empty</t>
        </r>
        <r>
          <rPr>
            <sz val="14"/>
            <color rgb="FF000000"/>
            <rFont val="Aptos Narrow"/>
          </rPr>
          <t xml:space="preserve">
</t>
        </r>
      </text>
    </comment>
    <comment ref="G3" authorId="0" shapeId="0" xr:uid="{2BD16484-F0F5-E942-A35B-AE524BAA7945}">
      <text>
        <r>
          <rPr>
            <b/>
            <sz val="12"/>
            <color rgb="FF000000"/>
            <rFont val="Aptos Narrow"/>
          </rPr>
          <t>Takes a value of 1 if left empty</t>
        </r>
        <r>
          <rPr>
            <sz val="7"/>
            <color rgb="FF000000"/>
            <rFont val="Aptos Narrow"/>
          </rPr>
          <t xml:space="preserve">
</t>
        </r>
      </text>
    </comment>
    <comment ref="I3" authorId="0" shapeId="0" xr:uid="{1F2A03E5-7F7C-D940-AE1A-C1A8D7D1BB4B}">
      <text>
        <r>
          <rPr>
            <b/>
            <sz val="12"/>
            <color rgb="FF000000"/>
            <rFont val="Aptos Narrow"/>
          </rPr>
          <t>Takes a value of 1 if left empty</t>
        </r>
        <r>
          <rPr>
            <sz val="7"/>
            <color rgb="FF000000"/>
            <rFont val="Aptos Narrow"/>
          </rPr>
          <t xml:space="preserve">
</t>
        </r>
      </text>
    </comment>
    <comment ref="J3" authorId="0" shapeId="0" xr:uid="{DD0C3B7E-7816-A845-B8ED-5FA91332C753}">
      <text>
        <r>
          <rPr>
            <b/>
            <sz val="12"/>
            <color rgb="FF000000"/>
            <rFont val="Aptos Narrow"/>
          </rPr>
          <t>Takes a value of 1 if left empty</t>
        </r>
        <r>
          <rPr>
            <sz val="7"/>
            <color rgb="FF000000"/>
            <rFont val="Aptos Narrow"/>
          </rPr>
          <t xml:space="preserve">
</t>
        </r>
      </text>
    </comment>
    <comment ref="K3" authorId="0" shapeId="0" xr:uid="{D6D9CED7-0794-814D-B5B8-49D8CDAB5CFE}">
      <text>
        <r>
          <rPr>
            <b/>
            <sz val="14"/>
            <color rgb="FF000000"/>
            <rFont val="Aptos Narrow"/>
          </rPr>
          <t>Takes a value of 0 if left empty</t>
        </r>
        <r>
          <rPr>
            <sz val="8"/>
            <color rgb="FF000000"/>
            <rFont val="Aptos Narrow"/>
          </rPr>
          <t xml:space="preserve">
</t>
        </r>
      </text>
    </comment>
    <comment ref="L3" authorId="0" shapeId="0" xr:uid="{E7C62203-8455-7F46-B593-D88B5F63BC43}">
      <text>
        <r>
          <rPr>
            <b/>
            <sz val="12"/>
            <color rgb="FF000000"/>
            <rFont val="Aptos Narrow"/>
          </rPr>
          <t>Takes a value of 0 if left empty</t>
        </r>
        <r>
          <rPr>
            <sz val="7"/>
            <color rgb="FF000000"/>
            <rFont val="Aptos Narrow"/>
          </rPr>
          <t xml:space="preserve">
</t>
        </r>
      </text>
    </comment>
    <comment ref="M3" authorId="0" shapeId="0" xr:uid="{484A55CF-B28F-9547-945F-5BA45CDECD2D}">
      <text>
        <r>
          <rPr>
            <b/>
            <sz val="14"/>
            <color rgb="FF000000"/>
            <rFont val="Aptos Narrow"/>
          </rPr>
          <t>Takes a value of 0 if left empty</t>
        </r>
        <r>
          <rPr>
            <sz val="8"/>
            <color rgb="FF000000"/>
            <rFont val="Aptos Narrow"/>
          </rPr>
          <t xml:space="preserve">
</t>
        </r>
      </text>
    </comment>
    <comment ref="N3" authorId="0" shapeId="0" xr:uid="{B87A6114-D140-124B-BDC5-CF3E26959C22}">
      <text>
        <r>
          <rPr>
            <b/>
            <sz val="12"/>
            <color rgb="FF000000"/>
            <rFont val="Aptos Narrow"/>
          </rPr>
          <t>Takes a value of 0 if left empty</t>
        </r>
        <r>
          <rPr>
            <sz val="7"/>
            <color rgb="FF000000"/>
            <rFont val="Aptos Narrow"/>
          </rPr>
          <t xml:space="preserve">
</t>
        </r>
      </text>
    </comment>
    <comment ref="O3" authorId="0" shapeId="0" xr:uid="{3347CBF7-46F1-DC4B-839C-2BE23CEEBFB0}">
      <text>
        <r>
          <rPr>
            <b/>
            <sz val="12"/>
            <color rgb="FF000000"/>
            <rFont val="Aptos Narrow"/>
          </rPr>
          <t>Takes a value of 0 if left empty</t>
        </r>
        <r>
          <rPr>
            <sz val="7"/>
            <color rgb="FF000000"/>
            <rFont val="Aptos Narrow"/>
          </rPr>
          <t xml:space="preserve">
</t>
        </r>
      </text>
    </comment>
    <comment ref="P3" authorId="0" shapeId="0" xr:uid="{C16FE675-E26A-4F4F-A7AF-3C3D052898FF}">
      <text>
        <r>
          <rPr>
            <b/>
            <sz val="14"/>
            <color rgb="FF000000"/>
            <rFont val="Aptos Narrow"/>
          </rPr>
          <t>Takes a value of 0 if left empty</t>
        </r>
        <r>
          <rPr>
            <sz val="8"/>
            <color rgb="FF000000"/>
            <rFont val="Aptos Narrow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Eduardo</author>
  </authors>
  <commentList>
    <comment ref="E3" authorId="0" shapeId="0" xr:uid="{B9B64C11-3E80-7444-82D0-34F4330BF5E2}">
      <text>
        <r>
          <rPr>
            <b/>
            <sz val="10"/>
            <color rgb="FF000000"/>
            <rFont val="Tahoma"/>
            <family val="2"/>
          </rPr>
          <t>Default value is 0.95 if left blanc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F3" authorId="0" shapeId="0" xr:uid="{CB66575E-E5C9-4E44-BD8E-34372A4DDBA3}">
      <text>
        <r>
          <rPr>
            <b/>
            <sz val="10"/>
            <color rgb="FF000000"/>
            <rFont val="Tahoma"/>
            <family val="2"/>
          </rPr>
          <t>Default value is 0.95 if left blanc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G3" authorId="0" shapeId="0" xr:uid="{D57CB7FD-3917-3344-A2BA-55CBF1DE2C15}">
      <text>
        <r>
          <rPr>
            <b/>
            <sz val="10"/>
            <color rgb="FF000000"/>
            <rFont val="Tahoma"/>
            <family val="2"/>
          </rPr>
          <t>Default value is 50% if left blanc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H3" authorId="0" shapeId="0" xr:uid="{07F2C575-BD99-F543-A0CD-41D5516A6C6D}">
      <text>
        <r>
          <rPr>
            <b/>
            <sz val="10"/>
            <color rgb="FF000000"/>
            <rFont val="Tahoma"/>
            <family val="2"/>
          </rPr>
          <t>Default value is 1 if left blanc</t>
        </r>
      </text>
    </comment>
    <comment ref="I3" authorId="0" shapeId="0" xr:uid="{004E7C84-B929-3B45-9FB3-AA3B922E0BF5}">
      <text>
        <r>
          <rPr>
            <b/>
            <sz val="10"/>
            <color rgb="FF000000"/>
            <rFont val="Tahoma"/>
            <family val="2"/>
          </rPr>
          <t>Default value will be set to 0 if left blanc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J3" authorId="0" shapeId="0" xr:uid="{FD30BB41-714C-3648-83A9-BB64C0E2084E}">
      <text>
        <r>
          <rPr>
            <b/>
            <sz val="10"/>
            <color rgb="FF000000"/>
            <rFont val="Tahoma"/>
            <family val="2"/>
          </rPr>
          <t>Default value is set to zero if left blanc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L3" authorId="0" shapeId="0" xr:uid="{F171E3E9-9D2B-1247-8703-B768D4F3AFE0}">
      <text>
        <r>
          <rPr>
            <b/>
            <sz val="10"/>
            <color rgb="FF000000"/>
            <rFont val="Tahoma"/>
            <family val="2"/>
          </rPr>
          <t>If the value is left blanc and optimize battery is activated capital cost will take the default value of 0.1 €/MWh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M3" authorId="0" shapeId="0" xr:uid="{3013B1DA-2125-7641-85F9-3B8AA3DA77A3}">
      <text>
        <r>
          <rPr>
            <b/>
            <sz val="11"/>
            <color rgb="FF000000"/>
            <rFont val="Aptos Narrow"/>
          </rPr>
          <t>If the value is left blanc and optimize battery is activated capital cost will take the default value of 0.1 €/MWh</t>
        </r>
        <r>
          <rPr>
            <sz val="6"/>
            <color rgb="FF000000"/>
            <rFont val="Aptos Narrow"/>
          </rPr>
          <t xml:space="preserve">
</t>
        </r>
      </text>
    </comment>
  </commentList>
</comments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<sst xmlns="http://schemas.openxmlformats.org/spreadsheetml/2006/main" count="1371" uniqueCount="151">
  <si>
    <t>From</t>
  </si>
  <si>
    <t>LINES</t>
  </si>
  <si>
    <t>To</t>
  </si>
  <si>
    <t>Rated active power (MW)</t>
  </si>
  <si>
    <t>Bus rated voltage (kV)</t>
  </si>
  <si>
    <t>Thermal limit (MW)</t>
  </si>
  <si>
    <t>GENERATOR LOCATION</t>
  </si>
  <si>
    <t>Renewable Type</t>
  </si>
  <si>
    <t>PV</t>
  </si>
  <si>
    <t xml:space="preserve">RENEWABLE GENERATOR  </t>
  </si>
  <si>
    <t>STORAGE UNIT</t>
  </si>
  <si>
    <t>Madrid</t>
  </si>
  <si>
    <t>Galicia</t>
  </si>
  <si>
    <t>Asturias</t>
  </si>
  <si>
    <t>Cantabria</t>
  </si>
  <si>
    <t>País Vasco</t>
  </si>
  <si>
    <t>Navarra</t>
  </si>
  <si>
    <t>La Rioja</t>
  </si>
  <si>
    <t>Aragón</t>
  </si>
  <si>
    <t>Castilla y León</t>
  </si>
  <si>
    <t>Castilla la Mancha</t>
  </si>
  <si>
    <t>Extremadura</t>
  </si>
  <si>
    <t>Cataluña</t>
  </si>
  <si>
    <t>Valencia</t>
  </si>
  <si>
    <t>Andalucía</t>
  </si>
  <si>
    <t>Murcia</t>
  </si>
  <si>
    <t>Ceuta</t>
  </si>
  <si>
    <t>PCC</t>
  </si>
  <si>
    <t>Buses connected to the PCC</t>
  </si>
  <si>
    <t>Bus</t>
  </si>
  <si>
    <t>Marginal cost (€/MWh)</t>
  </si>
  <si>
    <t>|</t>
  </si>
  <si>
    <t>Busy</t>
  </si>
  <si>
    <t>Busz</t>
  </si>
  <si>
    <t>Busx ---</t>
  </si>
  <si>
    <t>Wind</t>
  </si>
  <si>
    <t>LOCATION</t>
  </si>
  <si>
    <t>Region</t>
  </si>
  <si>
    <t>€/MWh</t>
  </si>
  <si>
    <t>Ramp limit up (p.u)</t>
  </si>
  <si>
    <t>Ramp limit down (p.u)</t>
  </si>
  <si>
    <t>STATIC CONSTRAINTS</t>
  </si>
  <si>
    <t>Ramp limit start up (p.u)</t>
  </si>
  <si>
    <t>Ramp limit shut down (p.u)</t>
  </si>
  <si>
    <t>OPERATIONAL  COSTS</t>
  </si>
  <si>
    <t>Start up cost (€)</t>
  </si>
  <si>
    <t>Shut down cost (€)</t>
  </si>
  <si>
    <t>Min up time (h)</t>
  </si>
  <si>
    <t>Min down time (h)</t>
  </si>
  <si>
    <t>Up time before (h)</t>
  </si>
  <si>
    <t>Down time before (h)</t>
  </si>
  <si>
    <t>Stand by cost (€/h)</t>
  </si>
  <si>
    <t>INTER-TEMPORAL-CONSTRAINTS</t>
  </si>
  <si>
    <t>Initial power (MW)</t>
  </si>
  <si>
    <t>Optimization mode</t>
  </si>
  <si>
    <t>Capacity (MWh)</t>
  </si>
  <si>
    <t>Efficiency store (p.u)</t>
  </si>
  <si>
    <t>Efficiency dispatch (p.u)</t>
  </si>
  <si>
    <t>Initial SOC (%)</t>
  </si>
  <si>
    <t>Cyclic SOC (0/1)</t>
  </si>
  <si>
    <t>Standing loss (%/h)</t>
  </si>
  <si>
    <t>Investment cost storage (€/MWh)</t>
  </si>
  <si>
    <t>Investment cost inverter (€/MW)</t>
  </si>
  <si>
    <t>Latitude</t>
  </si>
  <si>
    <t>Longitude</t>
  </si>
  <si>
    <t>ES0 0</t>
  </si>
  <si>
    <t>ES0 1</t>
  </si>
  <si>
    <t>ES0 10</t>
  </si>
  <si>
    <t>ES0 11</t>
  </si>
  <si>
    <t>ES0 12</t>
  </si>
  <si>
    <t>ES0 13</t>
  </si>
  <si>
    <t>ES0 14</t>
  </si>
  <si>
    <t>ES0 15</t>
  </si>
  <si>
    <t>ES0 16</t>
  </si>
  <si>
    <t>ES0 17</t>
  </si>
  <si>
    <t>ES0 18</t>
  </si>
  <si>
    <t>ES0 19</t>
  </si>
  <si>
    <t>ES0 2</t>
  </si>
  <si>
    <t>ES0 20</t>
  </si>
  <si>
    <t>ES0 21</t>
  </si>
  <si>
    <t>ES0 22</t>
  </si>
  <si>
    <t>ES0 23</t>
  </si>
  <si>
    <t>ES0 24</t>
  </si>
  <si>
    <t>ES0 25</t>
  </si>
  <si>
    <t>ES0 26</t>
  </si>
  <si>
    <t>ES0 27</t>
  </si>
  <si>
    <t>ES0 28</t>
  </si>
  <si>
    <t>ES0 29</t>
  </si>
  <si>
    <t>ES0 3</t>
  </si>
  <si>
    <t>ES0 30</t>
  </si>
  <si>
    <t>ES0 31</t>
  </si>
  <si>
    <t>ES0 32</t>
  </si>
  <si>
    <t>ES0 33</t>
  </si>
  <si>
    <t>ES0 34</t>
  </si>
  <si>
    <t>ES0 35</t>
  </si>
  <si>
    <t>ES0 36</t>
  </si>
  <si>
    <t>ES0 37</t>
  </si>
  <si>
    <t>ES0 38</t>
  </si>
  <si>
    <t>ES0 39</t>
  </si>
  <si>
    <t>ES0 4</t>
  </si>
  <si>
    <t>ES0 40</t>
  </si>
  <si>
    <t>ES0 5</t>
  </si>
  <si>
    <t>ES0 6</t>
  </si>
  <si>
    <t>ES0 7</t>
  </si>
  <si>
    <t>ES0 8</t>
  </si>
  <si>
    <t>ES0 9</t>
  </si>
  <si>
    <t>PT0 0</t>
  </si>
  <si>
    <t>PT0 1</t>
  </si>
  <si>
    <t>PT0 2</t>
  </si>
  <si>
    <t>PT0 3</t>
  </si>
  <si>
    <t>PT0 4</t>
  </si>
  <si>
    <t>PT0 5</t>
  </si>
  <si>
    <t>PT0 6</t>
  </si>
  <si>
    <t>PT0 7</t>
  </si>
  <si>
    <t>Bus name</t>
  </si>
  <si>
    <t>Reactance (ohm)</t>
  </si>
  <si>
    <t>Rated active power (normalized)</t>
  </si>
  <si>
    <t>Norte (PT)</t>
  </si>
  <si>
    <t>Centro (PT)</t>
  </si>
  <si>
    <t>Lisboa (PT)</t>
  </si>
  <si>
    <t>Alentejo (PT)</t>
  </si>
  <si>
    <t>Algarve (PT)</t>
  </si>
  <si>
    <t>Wind installed capacity (MW)</t>
  </si>
  <si>
    <t>Photovoltaic installed capacity (MW)</t>
  </si>
  <si>
    <t>Year/Region</t>
  </si>
  <si>
    <t>Comunidad de Madrid</t>
  </si>
  <si>
    <t>Comunidad Valenciana</t>
  </si>
  <si>
    <t>Castilla-La Mancha</t>
  </si>
  <si>
    <t>Región de Murcia</t>
  </si>
  <si>
    <t>Lisboa</t>
  </si>
  <si>
    <t>Norte (Portugal)</t>
  </si>
  <si>
    <t>Centro (Portugal)</t>
  </si>
  <si>
    <t>Algarve</t>
  </si>
  <si>
    <t>Alentejo</t>
  </si>
  <si>
    <t>Grid rated voltage at the PCC (kV)</t>
  </si>
  <si>
    <t>PCC name</t>
  </si>
  <si>
    <t>France</t>
  </si>
  <si>
    <t>Morocco</t>
  </si>
  <si>
    <t>Carrier</t>
  </si>
  <si>
    <t>Nuclear</t>
  </si>
  <si>
    <t>CCGT</t>
  </si>
  <si>
    <t>efficiency</t>
  </si>
  <si>
    <t>-</t>
  </si>
  <si>
    <t>biomass</t>
  </si>
  <si>
    <t>PHS</t>
  </si>
  <si>
    <t>hydro</t>
  </si>
  <si>
    <t>Fixed</t>
  </si>
  <si>
    <t>ror</t>
  </si>
  <si>
    <r>
      <t>P</t>
    </r>
    <r>
      <rPr>
        <vertAlign val="subscript"/>
        <sz val="14"/>
        <color theme="1"/>
        <rFont val="Aptos Narrow (Cuerpo)"/>
      </rPr>
      <t>min</t>
    </r>
    <r>
      <rPr>
        <sz val="14"/>
        <color theme="1"/>
        <rFont val="Aptos Narrow"/>
        <family val="2"/>
        <scheme val="minor"/>
      </rPr>
      <t xml:space="preserve"> (MW)</t>
    </r>
  </si>
  <si>
    <t>BatteryStore</t>
  </si>
  <si>
    <t>Committable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</si>
</sst>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%"/>
  </numFmts>
  <fonts count="21" x14ac:knownFonts="1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4"/>
      <color rgb="FF000000"/>
      <name val="Aptos Narrow"/>
    </font>
    <font>
      <sz val="8"/>
      <color rgb="FF000000"/>
      <name val="Aptos Narrow"/>
    </font>
    <font>
      <b/>
      <sz val="12"/>
      <color rgb="FF000000"/>
      <name val="Aptos Narrow"/>
    </font>
    <font>
      <sz val="7"/>
      <color rgb="FF000000"/>
      <name val="Aptos Narrow"/>
    </font>
    <font>
      <sz val="14"/>
      <color rgb="FF000000"/>
      <name val="Aptos Narrow"/>
    </font>
    <font>
      <b/>
      <sz val="11"/>
      <color rgb="FF000000"/>
      <name val="Aptos Narrow"/>
    </font>
    <font>
      <sz val="6"/>
      <color rgb="FF000000"/>
      <name val="Aptos Narrow"/>
    </font>
    <font>
      <sz val="8"/>
      <name val="Aptos Narrow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  <font>
      <vertAlign val="subscript"/>
      <sz val="14"/>
      <color theme="1"/>
      <name val="Aptos Narrow (Cuerpo)"/>
    </font>
    <font>
      <sz val="14"/>
      <name val="Calibri"/>
      <family val="2"/>
    </font>
    <font>
      <sz val="14"/>
      <name val="Aptos Narrow"/>
      <scheme val="minor"/>
    </font>
    <font>
      <sz val="14"/>
      <name val="Aptos Narrow"/>
      <family val="2"/>
      <scheme val="minor"/>
    </font>
    <font>
      <sz val="10"/>
      <color rgb="FF000000"/>
      <name val="Aptos Narrow"/>
    </font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9" fontId="19" fillId="0" borderId="0" applyFont="0" applyFill="0" applyBorder="0" applyAlignment="0" applyProtection="0"/>
  </cellStyleXfs>
  <cellXfs count="5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10" fontId="0" fillId="0" borderId="1" xfId="0" applyNumberFormat="1" applyBorder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0" fillId="0" borderId="1" xfId="0" applyBorder="1" applyAlignment="1">
      <alignment vertical="center"/>
    </xf>
    <xf numFmtId="0" fontId="0" fillId="4" borderId="3" xfId="0" applyFill="1" applyBorder="1" applyAlignment="1">
      <alignment horizontal="center"/>
    </xf>
    <xf numFmtId="0" fontId="0" fillId="5" borderId="1" xfId="0" applyFill="1" applyBorder="1"/>
    <xf numFmtId="0" fontId="12" fillId="0" borderId="1" xfId="0" applyFont="1" applyBorder="1"/>
    <xf numFmtId="49" fontId="0" fillId="5" borderId="1" xfId="0" applyNumberFormat="1" applyFill="1" applyBorder="1"/>
    <xf numFmtId="0" fontId="0" fillId="2" borderId="2" xfId="0" applyFill="1" applyBorder="1" applyAlignment="1">
      <alignment horizontal="center" vertical="center"/>
    </xf>
    <xf numFmtId="0" fontId="0" fillId="0" borderId="2" xfId="0" applyBorder="1"/>
    <xf numFmtId="0" fontId="0" fillId="2" borderId="1" xfId="0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17" fillId="0" borderId="1" xfId="0" applyFont="1" applyBorder="1"/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right"/>
    </xf>
    <xf numFmtId="0" fontId="13" fillId="0" borderId="1" xfId="0" applyFont="1" applyBorder="1"/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right" vertical="center"/>
    </xf>
    <xf numFmtId="165" fontId="13" fillId="0" borderId="1" xfId="0" applyNumberFormat="1" applyFont="1" applyBorder="1" applyAlignment="1">
      <alignment horizontal="right"/>
    </xf>
    <xf numFmtId="0" fontId="13" fillId="0" borderId="1" xfId="0" applyFont="1" applyBorder="1" applyAlignment="1">
      <alignment horizontal="right"/>
    </xf>
    <xf numFmtId="1" fontId="13" fillId="0" borderId="1" xfId="0" applyNumberFormat="1" applyFont="1" applyBorder="1" applyAlignment="1">
      <alignment horizontal="right"/>
    </xf>
    <xf numFmtId="0" fontId="15" fillId="0" borderId="1" xfId="0" applyFont="1" applyBorder="1" applyAlignment="1">
      <alignment horizontal="right" vertical="top"/>
    </xf>
    <xf numFmtId="2" fontId="13" fillId="0" borderId="1" xfId="0" applyNumberFormat="1" applyFont="1" applyBorder="1" applyAlignment="1">
      <alignment horizontal="right"/>
    </xf>
    <xf numFmtId="0" fontId="0" fillId="5" borderId="1" xfId="0" applyFill="1" applyBorder="1" applyAlignment="1">
      <alignment horizontal="right"/>
    </xf>
    <xf numFmtId="3" fontId="0" fillId="0" borderId="1" xfId="0" applyNumberFormat="1" applyBorder="1"/>
    <xf numFmtId="0" fontId="0" fillId="0" borderId="0" xfId="0" applyAlignment="1">
      <alignment horizontal="center" vertical="center"/>
    </xf>
    <xf numFmtId="165" fontId="13" fillId="0" borderId="1" xfId="0" applyNumberFormat="1" applyFont="1" applyBorder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0" fontId="13" fillId="0" borderId="0" xfId="0" applyFont="1"/>
    <xf numFmtId="0" fontId="0" fillId="0" borderId="4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top"/>
    </xf>
    <xf numFmtId="0" fontId="13" fillId="0" borderId="1" xfId="0" applyFont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9" fontId="0" fillId="0" borderId="1" xfId="1" applyFont="1" applyFill="1" applyBorder="1"/>
    <xf numFmtId="166" fontId="0" fillId="0" borderId="1" xfId="1" applyNumberFormat="1" applyFont="1" applyFill="1" applyBorder="1"/>
    <xf numFmtId="0" fontId="0" fillId="0" borderId="0" xfId="0" applyFill="1"/>
    <xf numFmtId="0" fontId="20" fillId="0" borderId="1" xfId="0" applyFont="1" applyFill="1" applyBorder="1" applyAlignment="1">
      <alignment horizontal="left" vertical="top"/>
    </xf>
    <xf numFmtId="0" fontId="0" fillId="0" borderId="2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EDFFA7"/>
      <color rgb="FFE4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3/09/relationships/Python" Target="pyth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8E370-7D67-6F48-8430-A7FDA7C80DCB}">
  <sheetPr codeName="Sheet1">
    <tabColor theme="5" tint="0.39997558519241921"/>
  </sheetPr>
  <dimension ref="B1:F51"/>
  <sheetViews>
    <sheetView showGridLines="0" tabSelected="1" zoomScale="86" workbookViewId="0">
      <selection activeCell="I26" sqref="I26"/>
    </sheetView>
  </sheetViews>
  <sheetFormatPr baseColWidth="10" defaultColWidth="11.1640625" defaultRowHeight="16" x14ac:dyDescent="0.2"/>
  <cols>
    <col min="1" max="1" width="33.33203125" customWidth="1"/>
    <col min="2" max="2" width="23.5" style="2" customWidth="1"/>
    <col min="3" max="4" width="11.1640625" style="14"/>
    <col min="5" max="5" width="14" style="1" customWidth="1"/>
    <col min="6" max="6" width="24" customWidth="1"/>
  </cols>
  <sheetData>
    <row r="1" spans="2:6" ht="70" customHeight="1" x14ac:dyDescent="0.2">
      <c r="B1"/>
      <c r="C1"/>
      <c r="D1"/>
      <c r="E1"/>
    </row>
    <row r="2" spans="2:6" x14ac:dyDescent="0.2">
      <c r="B2" s="6" t="s">
        <v>4</v>
      </c>
      <c r="C2" s="15" t="s">
        <v>64</v>
      </c>
      <c r="D2" s="15" t="s">
        <v>63</v>
      </c>
      <c r="E2" s="18" t="s">
        <v>114</v>
      </c>
    </row>
    <row r="3" spans="2:6" x14ac:dyDescent="0.2">
      <c r="B3" s="1">
        <v>380</v>
      </c>
      <c r="C3" s="1">
        <v>-3.8228796809523811</v>
      </c>
      <c r="D3" s="1">
        <v>40.209797645714303</v>
      </c>
      <c r="E3" s="16" t="s">
        <v>65</v>
      </c>
      <c r="F3" s="10" t="s">
        <v>125</v>
      </c>
    </row>
    <row r="4" spans="2:6" x14ac:dyDescent="0.2">
      <c r="B4" s="1">
        <v>380</v>
      </c>
      <c r="C4" s="1">
        <v>2.0436640792307692</v>
      </c>
      <c r="D4" s="1">
        <v>41.483767902692307</v>
      </c>
      <c r="E4" s="16" t="s">
        <v>66</v>
      </c>
      <c r="F4" s="10" t="s">
        <v>22</v>
      </c>
    </row>
    <row r="5" spans="2:6" x14ac:dyDescent="0.2">
      <c r="B5" s="1">
        <v>380</v>
      </c>
      <c r="C5" s="1">
        <v>-0.15677362307692311</v>
      </c>
      <c r="D5" s="1">
        <v>39.905093689999987</v>
      </c>
      <c r="E5" s="16" t="s">
        <v>67</v>
      </c>
      <c r="F5" s="10" t="s">
        <v>126</v>
      </c>
    </row>
    <row r="6" spans="2:6" x14ac:dyDescent="0.2">
      <c r="B6" s="1">
        <v>380</v>
      </c>
      <c r="C6" s="1">
        <v>-3.9122283192857141</v>
      </c>
      <c r="D6" s="1">
        <v>43.197635675714288</v>
      </c>
      <c r="E6" s="16" t="s">
        <v>68</v>
      </c>
      <c r="F6" s="10" t="s">
        <v>14</v>
      </c>
    </row>
    <row r="7" spans="2:6" x14ac:dyDescent="0.2">
      <c r="B7" s="1">
        <v>380</v>
      </c>
      <c r="C7" s="1">
        <v>-4.7769322900000004</v>
      </c>
      <c r="D7" s="1">
        <v>41.729190476666673</v>
      </c>
      <c r="E7" s="16" t="s">
        <v>69</v>
      </c>
      <c r="F7" s="10" t="s">
        <v>19</v>
      </c>
    </row>
    <row r="8" spans="2:6" x14ac:dyDescent="0.2">
      <c r="B8" s="1">
        <v>380</v>
      </c>
      <c r="C8" s="1">
        <v>-2.353359125714285</v>
      </c>
      <c r="D8" s="1">
        <v>37.015184452857127</v>
      </c>
      <c r="E8" s="16" t="s">
        <v>70</v>
      </c>
      <c r="F8" s="10" t="s">
        <v>24</v>
      </c>
    </row>
    <row r="9" spans="2:6" x14ac:dyDescent="0.2">
      <c r="B9" s="1">
        <v>380</v>
      </c>
      <c r="C9" s="1">
        <v>-6.2218800699999992</v>
      </c>
      <c r="D9" s="1">
        <v>41.223858704615388</v>
      </c>
      <c r="E9" s="16" t="s">
        <v>71</v>
      </c>
      <c r="F9" s="10" t="s">
        <v>19</v>
      </c>
    </row>
    <row r="10" spans="2:6" x14ac:dyDescent="0.2">
      <c r="B10" s="1">
        <v>380</v>
      </c>
      <c r="C10" s="1">
        <v>0.60421694928571423</v>
      </c>
      <c r="D10" s="1">
        <v>41.286233812857141</v>
      </c>
      <c r="E10" s="16" t="s">
        <v>72</v>
      </c>
      <c r="F10" s="10" t="s">
        <v>22</v>
      </c>
    </row>
    <row r="11" spans="2:6" x14ac:dyDescent="0.2">
      <c r="B11" s="1">
        <v>380</v>
      </c>
      <c r="C11" s="1">
        <v>-4.055327932</v>
      </c>
      <c r="D11" s="1">
        <v>40.678609119000001</v>
      </c>
      <c r="E11" s="16" t="s">
        <v>73</v>
      </c>
      <c r="F11" s="10" t="s">
        <v>19</v>
      </c>
    </row>
    <row r="12" spans="2:6" x14ac:dyDescent="0.2">
      <c r="B12" s="1">
        <v>380</v>
      </c>
      <c r="C12" s="1">
        <v>-5.9740059895454536</v>
      </c>
      <c r="D12" s="1">
        <v>37.381561558181822</v>
      </c>
      <c r="E12" s="16" t="s">
        <v>74</v>
      </c>
      <c r="F12" s="10" t="s">
        <v>24</v>
      </c>
    </row>
    <row r="13" spans="2:6" x14ac:dyDescent="0.2">
      <c r="B13" s="1">
        <v>380</v>
      </c>
      <c r="C13" s="1">
        <v>-3.7730626200000001</v>
      </c>
      <c r="D13" s="1">
        <v>37.431931623333327</v>
      </c>
      <c r="E13" s="16" t="s">
        <v>75</v>
      </c>
      <c r="F13" s="10" t="s">
        <v>24</v>
      </c>
    </row>
    <row r="14" spans="2:6" x14ac:dyDescent="0.2">
      <c r="B14" s="1">
        <v>380</v>
      </c>
      <c r="C14" s="1">
        <v>-5.9139716755</v>
      </c>
      <c r="D14" s="1">
        <v>43.330743683000001</v>
      </c>
      <c r="E14" s="16" t="s">
        <v>76</v>
      </c>
      <c r="F14" s="10" t="s">
        <v>13</v>
      </c>
    </row>
    <row r="15" spans="2:6" x14ac:dyDescent="0.2">
      <c r="B15" s="1">
        <v>380</v>
      </c>
      <c r="C15" s="1">
        <v>-7.4349818139999986</v>
      </c>
      <c r="D15" s="1">
        <v>43.420326652</v>
      </c>
      <c r="E15" s="16" t="s">
        <v>77</v>
      </c>
      <c r="F15" s="10" t="s">
        <v>12</v>
      </c>
    </row>
    <row r="16" spans="2:6" x14ac:dyDescent="0.2">
      <c r="B16" s="1">
        <v>380</v>
      </c>
      <c r="C16" s="1">
        <v>-1.984061311666667</v>
      </c>
      <c r="D16" s="1">
        <v>39.475607663333342</v>
      </c>
      <c r="E16" s="16" t="s">
        <v>78</v>
      </c>
      <c r="F16" s="10" t="s">
        <v>127</v>
      </c>
    </row>
    <row r="17" spans="2:6" x14ac:dyDescent="0.2">
      <c r="B17" s="1">
        <v>380</v>
      </c>
      <c r="C17" s="1">
        <v>-1.0702671687500001</v>
      </c>
      <c r="D17" s="1">
        <v>37.835997810625003</v>
      </c>
      <c r="E17" s="16" t="s">
        <v>79</v>
      </c>
      <c r="F17" s="10" t="s">
        <v>128</v>
      </c>
    </row>
    <row r="18" spans="2:6" x14ac:dyDescent="0.2">
      <c r="B18" s="1">
        <v>380</v>
      </c>
      <c r="C18" s="1">
        <v>-3.4170281789999999</v>
      </c>
      <c r="D18" s="1">
        <v>40.414747507999998</v>
      </c>
      <c r="E18" s="16" t="s">
        <v>80</v>
      </c>
      <c r="F18" s="10" t="s">
        <v>125</v>
      </c>
    </row>
    <row r="19" spans="2:6" x14ac:dyDescent="0.2">
      <c r="B19" s="1">
        <v>380</v>
      </c>
      <c r="C19" s="1">
        <v>-5.642070305999999</v>
      </c>
      <c r="D19" s="1">
        <v>36.413732676000002</v>
      </c>
      <c r="E19" s="16" t="s">
        <v>81</v>
      </c>
      <c r="F19" s="10" t="s">
        <v>24</v>
      </c>
    </row>
    <row r="20" spans="2:6" x14ac:dyDescent="0.2">
      <c r="B20" s="1">
        <v>380</v>
      </c>
      <c r="C20" s="1">
        <v>-1.66612890375</v>
      </c>
      <c r="D20" s="1">
        <v>42.60942544625</v>
      </c>
      <c r="E20" s="16" t="s">
        <v>82</v>
      </c>
      <c r="F20" s="10" t="s">
        <v>16</v>
      </c>
    </row>
    <row r="21" spans="2:6" x14ac:dyDescent="0.2">
      <c r="B21" s="1">
        <v>380</v>
      </c>
      <c r="C21" s="1">
        <v>-6.7986517908695649</v>
      </c>
      <c r="D21" s="1">
        <v>42.371512554347817</v>
      </c>
      <c r="E21" s="16" t="s">
        <v>83</v>
      </c>
      <c r="F21" s="10" t="s">
        <v>19</v>
      </c>
    </row>
    <row r="22" spans="2:6" x14ac:dyDescent="0.2">
      <c r="B22" s="1">
        <v>380</v>
      </c>
      <c r="C22" s="1">
        <v>-4.6872257133333326</v>
      </c>
      <c r="D22" s="1">
        <v>37.878767227777779</v>
      </c>
      <c r="E22" s="16" t="s">
        <v>84</v>
      </c>
      <c r="F22" s="10" t="s">
        <v>24</v>
      </c>
    </row>
    <row r="23" spans="2:6" x14ac:dyDescent="0.2">
      <c r="B23" s="1">
        <v>380</v>
      </c>
      <c r="C23" s="1">
        <v>2.2557886171428572</v>
      </c>
      <c r="D23" s="1">
        <v>41.84757414571429</v>
      </c>
      <c r="E23" s="16" t="s">
        <v>85</v>
      </c>
      <c r="F23" s="10" t="s">
        <v>22</v>
      </c>
    </row>
    <row r="24" spans="2:6" x14ac:dyDescent="0.2">
      <c r="B24" s="1">
        <v>380</v>
      </c>
      <c r="C24" s="1">
        <v>-2.5956838991666671</v>
      </c>
      <c r="D24" s="1">
        <v>42.596479905000002</v>
      </c>
      <c r="E24" s="16" t="s">
        <v>86</v>
      </c>
      <c r="F24" s="10" t="s">
        <v>17</v>
      </c>
    </row>
    <row r="25" spans="2:6" x14ac:dyDescent="0.2">
      <c r="B25" s="1">
        <v>380</v>
      </c>
      <c r="C25" s="1">
        <v>-0.63405998368421057</v>
      </c>
      <c r="D25" s="1">
        <v>39.351245599473692</v>
      </c>
      <c r="E25" s="16" t="s">
        <v>87</v>
      </c>
      <c r="F25" s="10" t="s">
        <v>126</v>
      </c>
    </row>
    <row r="26" spans="2:6" x14ac:dyDescent="0.2">
      <c r="B26" s="1">
        <v>380</v>
      </c>
      <c r="C26" s="1">
        <v>-2.1536628092307688</v>
      </c>
      <c r="D26" s="1">
        <v>43.13533952923077</v>
      </c>
      <c r="E26" s="16" t="s">
        <v>88</v>
      </c>
      <c r="F26" s="10" t="s">
        <v>15</v>
      </c>
    </row>
    <row r="27" spans="2:6" x14ac:dyDescent="0.2">
      <c r="B27" s="1">
        <v>380</v>
      </c>
      <c r="C27" s="1">
        <v>1.458176050833333</v>
      </c>
      <c r="D27" s="1">
        <v>41.477682186666669</v>
      </c>
      <c r="E27" s="16" t="s">
        <v>89</v>
      </c>
      <c r="F27" s="10" t="s">
        <v>22</v>
      </c>
    </row>
    <row r="28" spans="2:6" x14ac:dyDescent="0.2">
      <c r="B28" s="1">
        <v>380</v>
      </c>
      <c r="C28" s="1">
        <v>-8.4763970158333333</v>
      </c>
      <c r="D28" s="1">
        <v>43.0534652925</v>
      </c>
      <c r="E28" s="16" t="s">
        <v>90</v>
      </c>
      <c r="F28" s="10" t="s">
        <v>12</v>
      </c>
    </row>
    <row r="29" spans="2:6" x14ac:dyDescent="0.2">
      <c r="B29" s="1">
        <v>380</v>
      </c>
      <c r="C29" s="1">
        <v>0.47664174111111107</v>
      </c>
      <c r="D29" s="1">
        <v>42.310261868888887</v>
      </c>
      <c r="E29" s="16" t="s">
        <v>91</v>
      </c>
      <c r="F29" s="10" t="s">
        <v>22</v>
      </c>
    </row>
    <row r="30" spans="2:6" x14ac:dyDescent="0.2">
      <c r="B30" s="1">
        <v>380</v>
      </c>
      <c r="C30" s="1">
        <v>-6.3481831900000003</v>
      </c>
      <c r="D30" s="1">
        <v>39.739212846923081</v>
      </c>
      <c r="E30" s="16" t="s">
        <v>92</v>
      </c>
      <c r="F30" s="10" t="s">
        <v>21</v>
      </c>
    </row>
    <row r="31" spans="2:6" x14ac:dyDescent="0.2">
      <c r="B31" s="1">
        <v>380</v>
      </c>
      <c r="C31" s="1">
        <v>-6.5877318137499996</v>
      </c>
      <c r="D31" s="1">
        <v>38.732166710000001</v>
      </c>
      <c r="E31" s="16" t="s">
        <v>93</v>
      </c>
      <c r="F31" s="10" t="s">
        <v>21</v>
      </c>
    </row>
    <row r="32" spans="2:6" x14ac:dyDescent="0.2">
      <c r="B32" s="1">
        <v>380</v>
      </c>
      <c r="C32" s="1">
        <v>-5.3078158627272733</v>
      </c>
      <c r="D32" s="1">
        <v>39.790108534545453</v>
      </c>
      <c r="E32" s="16" t="s">
        <v>94</v>
      </c>
      <c r="F32" s="10" t="s">
        <v>21</v>
      </c>
    </row>
    <row r="33" spans="2:6" x14ac:dyDescent="0.2">
      <c r="B33" s="1">
        <v>380</v>
      </c>
      <c r="C33" s="1">
        <v>-7.9483195793750001</v>
      </c>
      <c r="D33" s="1">
        <v>42.363704349999999</v>
      </c>
      <c r="E33" s="16" t="s">
        <v>95</v>
      </c>
      <c r="F33" s="10" t="s">
        <v>12</v>
      </c>
    </row>
    <row r="34" spans="2:6" x14ac:dyDescent="0.2">
      <c r="B34" s="1">
        <v>380</v>
      </c>
      <c r="C34" s="1">
        <v>-2.9633903775000001</v>
      </c>
      <c r="D34" s="1">
        <v>43.239594603500002</v>
      </c>
      <c r="E34" s="16" t="s">
        <v>96</v>
      </c>
      <c r="F34" s="10" t="s">
        <v>15</v>
      </c>
    </row>
    <row r="35" spans="2:6" x14ac:dyDescent="0.2">
      <c r="B35" s="1">
        <v>380</v>
      </c>
      <c r="C35" s="1">
        <v>-3.8546618230769232</v>
      </c>
      <c r="D35" s="1">
        <v>38.974758006153849</v>
      </c>
      <c r="E35" s="16" t="s">
        <v>97</v>
      </c>
      <c r="F35" s="10" t="s">
        <v>127</v>
      </c>
    </row>
    <row r="36" spans="2:6" x14ac:dyDescent="0.2">
      <c r="B36" s="1">
        <v>380</v>
      </c>
      <c r="C36" s="1">
        <v>-1.6375452430769231</v>
      </c>
      <c r="D36" s="1">
        <v>41.7927599</v>
      </c>
      <c r="E36" s="16" t="s">
        <v>98</v>
      </c>
      <c r="F36" s="10" t="s">
        <v>18</v>
      </c>
    </row>
    <row r="37" spans="2:6" x14ac:dyDescent="0.2">
      <c r="B37" s="1">
        <v>380</v>
      </c>
      <c r="C37" s="1">
        <v>-0.68131949666666669</v>
      </c>
      <c r="D37" s="1">
        <v>38.388986428333332</v>
      </c>
      <c r="E37" s="16" t="s">
        <v>99</v>
      </c>
      <c r="F37" s="10" t="s">
        <v>126</v>
      </c>
    </row>
    <row r="38" spans="2:6" x14ac:dyDescent="0.2">
      <c r="B38" s="1">
        <v>380</v>
      </c>
      <c r="C38" s="1">
        <v>-3.877691008571428</v>
      </c>
      <c r="D38" s="1">
        <v>42.439054290000001</v>
      </c>
      <c r="E38" s="16" t="s">
        <v>100</v>
      </c>
      <c r="F38" s="10" t="s">
        <v>19</v>
      </c>
    </row>
    <row r="39" spans="2:6" x14ac:dyDescent="0.2">
      <c r="B39" s="1">
        <v>380</v>
      </c>
      <c r="C39" s="1">
        <v>-4.5918513542857147</v>
      </c>
      <c r="D39" s="1">
        <v>36.812020702142853</v>
      </c>
      <c r="E39" s="16" t="s">
        <v>101</v>
      </c>
      <c r="F39" s="10" t="s">
        <v>24</v>
      </c>
    </row>
    <row r="40" spans="2:6" x14ac:dyDescent="0.2">
      <c r="B40" s="1">
        <v>380</v>
      </c>
      <c r="C40" s="1">
        <v>-0.69421848625000004</v>
      </c>
      <c r="D40" s="1">
        <v>41.375894162916673</v>
      </c>
      <c r="E40" s="16" t="s">
        <v>102</v>
      </c>
      <c r="F40" s="10" t="s">
        <v>18</v>
      </c>
    </row>
    <row r="41" spans="2:6" x14ac:dyDescent="0.2">
      <c r="B41" s="1">
        <v>380</v>
      </c>
      <c r="C41" s="1">
        <v>-5.5194122733333337</v>
      </c>
      <c r="D41" s="1">
        <v>42.676780911666668</v>
      </c>
      <c r="E41" s="16" t="s">
        <v>103</v>
      </c>
      <c r="F41" s="10" t="s">
        <v>19</v>
      </c>
    </row>
    <row r="42" spans="2:6" x14ac:dyDescent="0.2">
      <c r="B42" s="1">
        <v>380</v>
      </c>
      <c r="C42" s="1">
        <v>-6.9012306537499999</v>
      </c>
      <c r="D42" s="1">
        <v>37.257601170000001</v>
      </c>
      <c r="E42" s="16" t="s">
        <v>104</v>
      </c>
      <c r="F42" s="10" t="s">
        <v>24</v>
      </c>
    </row>
    <row r="43" spans="2:6" x14ac:dyDescent="0.2">
      <c r="B43" s="1">
        <v>380</v>
      </c>
      <c r="C43" s="1">
        <v>-8.5863021615384607</v>
      </c>
      <c r="D43" s="1">
        <v>42.422536243076927</v>
      </c>
      <c r="E43" s="16" t="s">
        <v>105</v>
      </c>
      <c r="F43" s="10" t="s">
        <v>12</v>
      </c>
    </row>
    <row r="44" spans="2:6" x14ac:dyDescent="0.2">
      <c r="B44" s="1">
        <v>380</v>
      </c>
      <c r="C44" s="1">
        <v>-9.0573803809090911</v>
      </c>
      <c r="D44" s="1">
        <v>38.812486414545447</v>
      </c>
      <c r="E44" s="16" t="s">
        <v>106</v>
      </c>
      <c r="F44" s="10" t="s">
        <v>129</v>
      </c>
    </row>
    <row r="45" spans="2:6" x14ac:dyDescent="0.2">
      <c r="B45" s="1">
        <v>380</v>
      </c>
      <c r="C45" s="1">
        <v>-8.4151170526086965</v>
      </c>
      <c r="D45" s="1">
        <v>41.268831192608687</v>
      </c>
      <c r="E45" s="16" t="s">
        <v>107</v>
      </c>
      <c r="F45" s="10" t="s">
        <v>130</v>
      </c>
    </row>
    <row r="46" spans="2:6" x14ac:dyDescent="0.2">
      <c r="B46" s="1">
        <v>380</v>
      </c>
      <c r="C46" s="1">
        <v>-7.5967090737499996</v>
      </c>
      <c r="D46" s="1">
        <v>40.420836307499997</v>
      </c>
      <c r="E46" s="16" t="s">
        <v>108</v>
      </c>
      <c r="F46" s="10" t="s">
        <v>131</v>
      </c>
    </row>
    <row r="47" spans="2:6" x14ac:dyDescent="0.2">
      <c r="B47" s="1">
        <v>380</v>
      </c>
      <c r="C47" s="1">
        <v>-8.3862859040000011</v>
      </c>
      <c r="D47" s="1">
        <v>37.721094385999997</v>
      </c>
      <c r="E47" s="16" t="s">
        <v>109</v>
      </c>
      <c r="F47" s="10" t="s">
        <v>132</v>
      </c>
    </row>
    <row r="48" spans="2:6" x14ac:dyDescent="0.2">
      <c r="B48" s="1">
        <v>380</v>
      </c>
      <c r="C48" s="1">
        <v>-8.6246388399999994</v>
      </c>
      <c r="D48" s="1">
        <v>39.665012401250003</v>
      </c>
      <c r="E48" s="16" t="s">
        <v>110</v>
      </c>
      <c r="F48" s="10" t="s">
        <v>131</v>
      </c>
    </row>
    <row r="49" spans="2:6" x14ac:dyDescent="0.2">
      <c r="B49" s="1">
        <v>380</v>
      </c>
      <c r="C49" s="1">
        <v>-7.67202611</v>
      </c>
      <c r="D49" s="1">
        <v>38.809258192500003</v>
      </c>
      <c r="E49" s="16" t="s">
        <v>111</v>
      </c>
      <c r="F49" s="10" t="s">
        <v>133</v>
      </c>
    </row>
    <row r="50" spans="2:6" x14ac:dyDescent="0.2">
      <c r="B50" s="1">
        <v>380</v>
      </c>
      <c r="C50" s="1">
        <v>-8.5140423649999999</v>
      </c>
      <c r="D50" s="1">
        <v>40.485116558750001</v>
      </c>
      <c r="E50" s="16" t="s">
        <v>112</v>
      </c>
      <c r="F50" s="10" t="s">
        <v>131</v>
      </c>
    </row>
    <row r="51" spans="2:6" x14ac:dyDescent="0.2">
      <c r="B51" s="1">
        <v>380</v>
      </c>
      <c r="C51" s="1">
        <v>-7.212492492</v>
      </c>
      <c r="D51" s="1">
        <v>41.303578584999997</v>
      </c>
      <c r="E51" s="16" t="s">
        <v>113</v>
      </c>
      <c r="F51" s="10" t="s">
        <v>130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D89AB-0B30-9C4D-AAA6-BFB22D3114D9}">
  <sheetPr codeName="Sheet2">
    <tabColor theme="5" tint="0.39997558519241921"/>
  </sheetPr>
  <dimension ref="B1:E102"/>
  <sheetViews>
    <sheetView showGridLines="0" zoomScale="94" workbookViewId="0">
      <selection activeCell="G12" sqref="G12"/>
    </sheetView>
  </sheetViews>
  <sheetFormatPr baseColWidth="10" defaultColWidth="11.1640625" defaultRowHeight="16" x14ac:dyDescent="0.2"/>
  <cols>
    <col min="1" max="1" width="33.33203125" customWidth="1"/>
    <col min="2" max="5" width="19.1640625" style="2" customWidth="1"/>
  </cols>
  <sheetData>
    <row r="1" spans="2:5" ht="70" customHeight="1" x14ac:dyDescent="0.2">
      <c r="B1"/>
      <c r="C1"/>
      <c r="D1"/>
      <c r="E1"/>
    </row>
    <row r="2" spans="2:5" x14ac:dyDescent="0.2">
      <c r="B2" s="48" t="s">
        <v>1</v>
      </c>
      <c r="C2" s="48"/>
      <c r="D2" s="48"/>
      <c r="E2" s="48"/>
    </row>
    <row r="3" spans="2:5" x14ac:dyDescent="0.2">
      <c r="B3" s="6" t="s">
        <v>0</v>
      </c>
      <c r="C3" s="6" t="s">
        <v>2</v>
      </c>
      <c r="D3" s="6" t="s">
        <v>115</v>
      </c>
      <c r="E3" s="4" t="s">
        <v>5</v>
      </c>
    </row>
    <row r="4" spans="2:5" x14ac:dyDescent="0.2">
      <c r="B4" s="1" t="s">
        <v>65</v>
      </c>
      <c r="C4" s="1" t="s">
        <v>73</v>
      </c>
      <c r="D4" s="1">
        <v>3.771148293152772</v>
      </c>
      <c r="E4" s="1">
        <v>4102.258414678432</v>
      </c>
    </row>
    <row r="5" spans="2:5" x14ac:dyDescent="0.2">
      <c r="B5" s="1" t="s">
        <v>65</v>
      </c>
      <c r="C5" s="1" t="s">
        <v>80</v>
      </c>
      <c r="D5" s="1">
        <v>1.189168390126373</v>
      </c>
      <c r="E5" s="1">
        <v>6756.6609182938873</v>
      </c>
    </row>
    <row r="6" spans="2:5" x14ac:dyDescent="0.2">
      <c r="B6" s="1" t="s">
        <v>68</v>
      </c>
      <c r="C6" s="1" t="s">
        <v>76</v>
      </c>
      <c r="D6" s="1">
        <v>15.19727572333105</v>
      </c>
      <c r="E6" s="1">
        <v>2493.5296246084586</v>
      </c>
    </row>
    <row r="7" spans="2:5" x14ac:dyDescent="0.2">
      <c r="B7" s="1" t="s">
        <v>68</v>
      </c>
      <c r="C7" s="1" t="s">
        <v>96</v>
      </c>
      <c r="D7" s="1">
        <v>4.9639872157825842</v>
      </c>
      <c r="E7" s="1">
        <v>5268.5867874791629</v>
      </c>
    </row>
    <row r="8" spans="2:5" x14ac:dyDescent="0.2">
      <c r="B8" s="1" t="s">
        <v>68</v>
      </c>
      <c r="C8" s="1" t="s">
        <v>100</v>
      </c>
      <c r="D8" s="1">
        <v>20.76176655107923</v>
      </c>
      <c r="E8" s="1">
        <v>1608.728790069973</v>
      </c>
    </row>
    <row r="9" spans="2:5" x14ac:dyDescent="0.2">
      <c r="B9" s="1" t="s">
        <v>68</v>
      </c>
      <c r="C9" s="1" t="s">
        <v>103</v>
      </c>
      <c r="D9" s="1">
        <v>19.367937595905889</v>
      </c>
      <c r="E9" s="1">
        <v>2051.1292073392165</v>
      </c>
    </row>
    <row r="10" spans="2:5" x14ac:dyDescent="0.2">
      <c r="B10" s="1" t="s">
        <v>69</v>
      </c>
      <c r="C10" s="1" t="s">
        <v>71</v>
      </c>
      <c r="D10" s="1">
        <v>4.4957232191448391</v>
      </c>
      <c r="E10" s="1">
        <v>8204.5168293568659</v>
      </c>
    </row>
    <row r="11" spans="2:5" x14ac:dyDescent="0.2">
      <c r="B11" s="1" t="s">
        <v>69</v>
      </c>
      <c r="C11" s="1" t="s">
        <v>73</v>
      </c>
      <c r="D11" s="1">
        <v>8.0869200996521418</v>
      </c>
      <c r="E11" s="1">
        <v>6434.9151602798929</v>
      </c>
    </row>
    <row r="12" spans="2:5" x14ac:dyDescent="0.2">
      <c r="B12" s="1" t="s">
        <v>69</v>
      </c>
      <c r="C12" s="1" t="s">
        <v>80</v>
      </c>
      <c r="D12" s="1">
        <v>22.798521515909069</v>
      </c>
      <c r="E12" s="1">
        <v>3217.4575801399465</v>
      </c>
    </row>
    <row r="13" spans="2:5" x14ac:dyDescent="0.2">
      <c r="B13" s="1" t="s">
        <v>69</v>
      </c>
      <c r="C13" s="1" t="s">
        <v>83</v>
      </c>
      <c r="D13" s="1">
        <v>6.1443900948176768</v>
      </c>
      <c r="E13" s="1">
        <v>8204.5168293568659</v>
      </c>
    </row>
    <row r="14" spans="2:5" x14ac:dyDescent="0.2">
      <c r="B14" s="1" t="s">
        <v>69</v>
      </c>
      <c r="C14" s="1" t="s">
        <v>86</v>
      </c>
      <c r="D14" s="1">
        <v>50.185457717991603</v>
      </c>
      <c r="E14" s="1">
        <v>1608.728790069973</v>
      </c>
    </row>
    <row r="15" spans="2:5" x14ac:dyDescent="0.2">
      <c r="B15" s="1" t="s">
        <v>69</v>
      </c>
      <c r="C15" s="1" t="s">
        <v>98</v>
      </c>
      <c r="D15" s="1">
        <v>64.076488300098703</v>
      </c>
      <c r="E15" s="1">
        <v>1608.728790069973</v>
      </c>
    </row>
    <row r="16" spans="2:5" x14ac:dyDescent="0.2">
      <c r="B16" s="1" t="s">
        <v>65</v>
      </c>
      <c r="C16" s="1" t="s">
        <v>94</v>
      </c>
      <c r="D16" s="1">
        <v>9.1250844926263959</v>
      </c>
      <c r="E16" s="1">
        <v>4102.258414678432</v>
      </c>
    </row>
    <row r="17" spans="2:5" x14ac:dyDescent="0.2">
      <c r="B17" s="1" t="s">
        <v>69</v>
      </c>
      <c r="C17" s="1" t="s">
        <v>100</v>
      </c>
      <c r="D17" s="1">
        <v>7.3327502800072866</v>
      </c>
      <c r="E17" s="1">
        <v>4102.2584146784329</v>
      </c>
    </row>
    <row r="18" spans="2:5" x14ac:dyDescent="0.2">
      <c r="B18" s="1" t="s">
        <v>69</v>
      </c>
      <c r="C18" s="1" t="s">
        <v>103</v>
      </c>
      <c r="D18" s="1">
        <v>14.98492961302933</v>
      </c>
      <c r="E18" s="1">
        <v>3217.4575801399465</v>
      </c>
    </row>
    <row r="19" spans="2:5" x14ac:dyDescent="0.2">
      <c r="B19" s="1" t="s">
        <v>70</v>
      </c>
      <c r="C19" s="1" t="s">
        <v>75</v>
      </c>
      <c r="D19" s="1">
        <v>18.135411696187919</v>
      </c>
      <c r="E19" s="1">
        <v>2051.1292073392165</v>
      </c>
    </row>
    <row r="20" spans="2:5" x14ac:dyDescent="0.2">
      <c r="B20" s="1" t="s">
        <v>70</v>
      </c>
      <c r="C20" s="1" t="s">
        <v>79</v>
      </c>
      <c r="D20" s="1">
        <v>11.93009647235408</v>
      </c>
      <c r="E20" s="1">
        <v>4826.1863702099199</v>
      </c>
    </row>
    <row r="21" spans="2:5" x14ac:dyDescent="0.2">
      <c r="B21" s="1" t="s">
        <v>71</v>
      </c>
      <c r="C21" s="1" t="s">
        <v>92</v>
      </c>
      <c r="D21" s="1">
        <v>20.347924381475689</v>
      </c>
      <c r="E21" s="1">
        <v>3217.4575801399465</v>
      </c>
    </row>
    <row r="22" spans="2:5" x14ac:dyDescent="0.2">
      <c r="B22" s="1" t="s">
        <v>71</v>
      </c>
      <c r="C22" s="1" t="s">
        <v>113</v>
      </c>
      <c r="D22" s="1">
        <v>5.9344609862331126</v>
      </c>
      <c r="E22" s="1">
        <v>2935.9300418777007</v>
      </c>
    </row>
    <row r="23" spans="2:5" x14ac:dyDescent="0.2">
      <c r="B23" s="1" t="s">
        <v>72</v>
      </c>
      <c r="C23" s="1" t="s">
        <v>89</v>
      </c>
      <c r="D23" s="1">
        <v>3.355274178283929</v>
      </c>
      <c r="E23" s="1">
        <v>6153.387622017648</v>
      </c>
    </row>
    <row r="24" spans="2:5" x14ac:dyDescent="0.2">
      <c r="B24" s="1" t="s">
        <v>72</v>
      </c>
      <c r="C24" s="1" t="s">
        <v>91</v>
      </c>
      <c r="D24" s="1">
        <v>17.21068679632468</v>
      </c>
      <c r="E24" s="1">
        <v>884.80083453848533</v>
      </c>
    </row>
    <row r="25" spans="2:5" x14ac:dyDescent="0.2">
      <c r="B25" s="1" t="s">
        <v>72</v>
      </c>
      <c r="C25" s="1" t="s">
        <v>102</v>
      </c>
      <c r="D25" s="1">
        <v>5.7788685504777799</v>
      </c>
      <c r="E25" s="1">
        <v>5710.987204748405</v>
      </c>
    </row>
    <row r="26" spans="2:5" x14ac:dyDescent="0.2">
      <c r="B26" s="1" t="s">
        <v>73</v>
      </c>
      <c r="C26" s="1" t="s">
        <v>80</v>
      </c>
      <c r="D26" s="1">
        <v>5.3610610756907864</v>
      </c>
      <c r="E26" s="1">
        <v>3659.857997409189</v>
      </c>
    </row>
    <row r="27" spans="2:5" x14ac:dyDescent="0.2">
      <c r="B27" s="1" t="s">
        <v>65</v>
      </c>
      <c r="C27" s="1" t="s">
        <v>97</v>
      </c>
      <c r="D27" s="1">
        <v>13.781499068113821</v>
      </c>
      <c r="E27" s="1">
        <v>1327.2012518077277</v>
      </c>
    </row>
    <row r="28" spans="2:5" x14ac:dyDescent="0.2">
      <c r="B28" s="1" t="s">
        <v>73</v>
      </c>
      <c r="C28" s="1" t="s">
        <v>94</v>
      </c>
      <c r="D28" s="1">
        <v>43.685334258652667</v>
      </c>
      <c r="E28" s="1">
        <v>442.40041726924267</v>
      </c>
    </row>
    <row r="29" spans="2:5" x14ac:dyDescent="0.2">
      <c r="B29" s="1" t="s">
        <v>74</v>
      </c>
      <c r="C29" s="1" t="s">
        <v>81</v>
      </c>
      <c r="D29" s="1">
        <v>6.1663688648245394</v>
      </c>
      <c r="E29" s="1">
        <v>4544.658831947675</v>
      </c>
    </row>
    <row r="30" spans="2:5" x14ac:dyDescent="0.2">
      <c r="B30" s="1" t="s">
        <v>74</v>
      </c>
      <c r="C30" s="1" t="s">
        <v>84</v>
      </c>
      <c r="D30" s="1">
        <v>37.951153841375977</v>
      </c>
      <c r="E30" s="1">
        <v>442.40041726924267</v>
      </c>
    </row>
    <row r="31" spans="2:5" x14ac:dyDescent="0.2">
      <c r="B31" s="1" t="s">
        <v>74</v>
      </c>
      <c r="C31" s="1" t="s">
        <v>93</v>
      </c>
      <c r="D31" s="1">
        <v>10.27898564926444</v>
      </c>
      <c r="E31" s="1">
        <v>5268.5867874791629</v>
      </c>
    </row>
    <row r="32" spans="2:5" x14ac:dyDescent="0.2">
      <c r="B32" s="1" t="s">
        <v>74</v>
      </c>
      <c r="C32" s="1" t="s">
        <v>94</v>
      </c>
      <c r="D32" s="1">
        <v>33.702454023403789</v>
      </c>
      <c r="E32" s="1">
        <v>3217.4575801399465</v>
      </c>
    </row>
    <row r="33" spans="2:5" x14ac:dyDescent="0.2">
      <c r="B33" s="1" t="s">
        <v>74</v>
      </c>
      <c r="C33" s="1" t="s">
        <v>104</v>
      </c>
      <c r="D33" s="1">
        <v>3.170183873175807</v>
      </c>
      <c r="E33" s="1">
        <v>7762.116412087621</v>
      </c>
    </row>
    <row r="34" spans="2:5" x14ac:dyDescent="0.2">
      <c r="B34" s="1" t="s">
        <v>75</v>
      </c>
      <c r="C34" s="1" t="s">
        <v>84</v>
      </c>
      <c r="D34" s="1">
        <v>9.4893334613810012</v>
      </c>
      <c r="E34" s="1">
        <v>1327.2012518077277</v>
      </c>
    </row>
    <row r="35" spans="2:5" x14ac:dyDescent="0.2">
      <c r="B35" s="1" t="s">
        <v>75</v>
      </c>
      <c r="C35" s="1" t="s">
        <v>97</v>
      </c>
      <c r="D35" s="1">
        <v>51.682466396259507</v>
      </c>
      <c r="E35" s="1">
        <v>442.40041726924267</v>
      </c>
    </row>
    <row r="36" spans="2:5" x14ac:dyDescent="0.2">
      <c r="B36" s="1" t="s">
        <v>75</v>
      </c>
      <c r="C36" s="1" t="s">
        <v>101</v>
      </c>
      <c r="D36" s="1">
        <v>9.3474146471665147</v>
      </c>
      <c r="E36" s="1">
        <v>2493.5296246084586</v>
      </c>
    </row>
    <row r="37" spans="2:5" x14ac:dyDescent="0.2">
      <c r="B37" s="1" t="s">
        <v>76</v>
      </c>
      <c r="C37" s="1" t="s">
        <v>77</v>
      </c>
      <c r="D37" s="1">
        <v>15.17024771745659</v>
      </c>
      <c r="E37" s="1">
        <v>3217.4575801399465</v>
      </c>
    </row>
    <row r="38" spans="2:5" x14ac:dyDescent="0.2">
      <c r="B38" s="1" t="s">
        <v>66</v>
      </c>
      <c r="C38" s="1" t="s">
        <v>72</v>
      </c>
      <c r="D38" s="1">
        <v>6.0063621505996627</v>
      </c>
      <c r="E38" s="1">
        <v>8043.6439503498659</v>
      </c>
    </row>
    <row r="39" spans="2:5" x14ac:dyDescent="0.2">
      <c r="B39" s="1" t="s">
        <v>76</v>
      </c>
      <c r="C39" s="1" t="s">
        <v>83</v>
      </c>
      <c r="D39" s="1">
        <v>38.754656365511202</v>
      </c>
      <c r="E39" s="1">
        <v>442.40041726924267</v>
      </c>
    </row>
    <row r="40" spans="2:5" x14ac:dyDescent="0.2">
      <c r="B40" s="1" t="s">
        <v>76</v>
      </c>
      <c r="C40" s="1" t="s">
        <v>103</v>
      </c>
      <c r="D40" s="1">
        <v>9.7761395859728708</v>
      </c>
      <c r="E40" s="1">
        <v>3217.4575801399465</v>
      </c>
    </row>
    <row r="41" spans="2:5" x14ac:dyDescent="0.2">
      <c r="B41" s="1" t="s">
        <v>77</v>
      </c>
      <c r="C41" s="1" t="s">
        <v>83</v>
      </c>
      <c r="D41" s="1">
        <v>31.39517089933253</v>
      </c>
      <c r="E41" s="1">
        <v>1608.728790069973</v>
      </c>
    </row>
    <row r="42" spans="2:5" x14ac:dyDescent="0.2">
      <c r="B42" s="1" t="s">
        <v>77</v>
      </c>
      <c r="C42" s="1" t="s">
        <v>90</v>
      </c>
      <c r="D42" s="1">
        <v>7.6840210322972888</v>
      </c>
      <c r="E42" s="1">
        <v>4826.1863702099199</v>
      </c>
    </row>
    <row r="43" spans="2:5" x14ac:dyDescent="0.2">
      <c r="B43" s="1" t="s">
        <v>78</v>
      </c>
      <c r="C43" s="1" t="s">
        <v>79</v>
      </c>
      <c r="D43" s="1">
        <v>24.456290357259832</v>
      </c>
      <c r="E43" s="1">
        <v>3217.4575801399465</v>
      </c>
    </row>
    <row r="44" spans="2:5" x14ac:dyDescent="0.2">
      <c r="B44" s="1" t="s">
        <v>78</v>
      </c>
      <c r="C44" s="1" t="s">
        <v>80</v>
      </c>
      <c r="D44" s="1">
        <v>8.2066498426623049</v>
      </c>
      <c r="E44" s="1">
        <v>6877.3155775491359</v>
      </c>
    </row>
    <row r="45" spans="2:5" x14ac:dyDescent="0.2">
      <c r="B45" s="1" t="s">
        <v>78</v>
      </c>
      <c r="C45" s="1" t="s">
        <v>87</v>
      </c>
      <c r="D45" s="1">
        <v>9.5772413510664727</v>
      </c>
      <c r="E45" s="1">
        <v>4826.1863702099199</v>
      </c>
    </row>
    <row r="46" spans="2:5" x14ac:dyDescent="0.2">
      <c r="B46" s="1" t="s">
        <v>79</v>
      </c>
      <c r="C46" s="1" t="s">
        <v>99</v>
      </c>
      <c r="D46" s="1">
        <v>5.0084065894657384</v>
      </c>
      <c r="E46" s="1">
        <v>2935.9300418777016</v>
      </c>
    </row>
    <row r="47" spans="2:5" x14ac:dyDescent="0.2">
      <c r="B47" s="1" t="s">
        <v>80</v>
      </c>
      <c r="C47" s="1" t="s">
        <v>94</v>
      </c>
      <c r="D47" s="1">
        <v>10.77290038700051</v>
      </c>
      <c r="E47" s="1">
        <v>6434.9151602798929</v>
      </c>
    </row>
    <row r="48" spans="2:5" x14ac:dyDescent="0.2">
      <c r="B48" s="1" t="s">
        <v>80</v>
      </c>
      <c r="C48" s="1" t="s">
        <v>98</v>
      </c>
      <c r="D48" s="1">
        <v>26.29581783744591</v>
      </c>
      <c r="E48" s="1">
        <v>3217.4575801399465</v>
      </c>
    </row>
    <row r="49" spans="2:5" x14ac:dyDescent="0.2">
      <c r="B49" s="1" t="s">
        <v>66</v>
      </c>
      <c r="C49" s="1" t="s">
        <v>85</v>
      </c>
      <c r="D49" s="1">
        <v>2.438230812553547</v>
      </c>
      <c r="E49" s="1">
        <v>4544.658831947675</v>
      </c>
    </row>
    <row r="50" spans="2:5" x14ac:dyDescent="0.2">
      <c r="B50" s="1" t="s">
        <v>81</v>
      </c>
      <c r="C50" s="1" t="s">
        <v>101</v>
      </c>
      <c r="D50" s="1">
        <v>3.9528590900128808</v>
      </c>
      <c r="E50" s="1">
        <v>7762.116412087621</v>
      </c>
    </row>
    <row r="51" spans="2:5" x14ac:dyDescent="0.2">
      <c r="B51" s="1" t="s">
        <v>82</v>
      </c>
      <c r="C51" s="1" t="s">
        <v>86</v>
      </c>
      <c r="D51" s="1">
        <v>22.904276923891349</v>
      </c>
      <c r="E51" s="1">
        <v>442.40041726924267</v>
      </c>
    </row>
    <row r="52" spans="2:5" x14ac:dyDescent="0.2">
      <c r="B52" s="1" t="s">
        <v>82</v>
      </c>
      <c r="C52" s="1" t="s">
        <v>88</v>
      </c>
      <c r="D52" s="1">
        <v>10.6400523092545</v>
      </c>
      <c r="E52" s="1">
        <v>884.80083453848533</v>
      </c>
    </row>
    <row r="53" spans="2:5" x14ac:dyDescent="0.2">
      <c r="B53" s="1" t="s">
        <v>82</v>
      </c>
      <c r="C53" s="1" t="s">
        <v>91</v>
      </c>
      <c r="D53" s="1">
        <v>53.847398777897503</v>
      </c>
      <c r="E53" s="1">
        <v>442.40041726924267</v>
      </c>
    </row>
    <row r="54" spans="2:5" x14ac:dyDescent="0.2">
      <c r="B54" s="1" t="s">
        <v>82</v>
      </c>
      <c r="C54" s="1" t="s">
        <v>98</v>
      </c>
      <c r="D54" s="1">
        <v>6.1483616502760858</v>
      </c>
      <c r="E54" s="1">
        <v>4102.258414678432</v>
      </c>
    </row>
    <row r="55" spans="2:5" x14ac:dyDescent="0.2">
      <c r="B55" s="1" t="s">
        <v>83</v>
      </c>
      <c r="C55" s="1" t="s">
        <v>95</v>
      </c>
      <c r="D55" s="1">
        <v>4.4098020662931594</v>
      </c>
      <c r="E55" s="1">
        <v>4987.0592492169171</v>
      </c>
    </row>
    <row r="56" spans="2:5" x14ac:dyDescent="0.2">
      <c r="B56" s="1" t="s">
        <v>83</v>
      </c>
      <c r="C56" s="1" t="s">
        <v>100</v>
      </c>
      <c r="D56" s="1">
        <v>59.023485202067093</v>
      </c>
      <c r="E56" s="1">
        <v>1608.728790069973</v>
      </c>
    </row>
    <row r="57" spans="2:5" x14ac:dyDescent="0.2">
      <c r="B57" s="1" t="s">
        <v>83</v>
      </c>
      <c r="C57" s="1" t="s">
        <v>103</v>
      </c>
      <c r="D57" s="1">
        <v>13.553445015744179</v>
      </c>
      <c r="E57" s="1">
        <v>3217.4575801399465</v>
      </c>
    </row>
    <row r="58" spans="2:5" x14ac:dyDescent="0.2">
      <c r="B58" s="1" t="s">
        <v>84</v>
      </c>
      <c r="C58" s="1" t="s">
        <v>94</v>
      </c>
      <c r="D58" s="1">
        <v>53.928588651644233</v>
      </c>
      <c r="E58" s="1">
        <v>1608.728790069973</v>
      </c>
    </row>
    <row r="59" spans="2:5" x14ac:dyDescent="0.2">
      <c r="B59" s="1" t="s">
        <v>84</v>
      </c>
      <c r="C59" s="1" t="s">
        <v>97</v>
      </c>
      <c r="D59" s="1">
        <v>9.5985315079568263</v>
      </c>
      <c r="E59" s="1">
        <v>4102.258414678432</v>
      </c>
    </row>
    <row r="60" spans="2:5" x14ac:dyDescent="0.2">
      <c r="B60" s="1" t="s">
        <v>66</v>
      </c>
      <c r="C60" s="1" t="s">
        <v>89</v>
      </c>
      <c r="D60" s="1">
        <v>1.0739994422846919</v>
      </c>
      <c r="E60" s="1">
        <v>9250.1905429023482</v>
      </c>
    </row>
    <row r="61" spans="2:5" x14ac:dyDescent="0.2">
      <c r="B61" s="1" t="s">
        <v>84</v>
      </c>
      <c r="C61" s="1" t="s">
        <v>101</v>
      </c>
      <c r="D61" s="1">
        <v>9.7511141012394251</v>
      </c>
      <c r="E61" s="1">
        <v>4826.1863702099199</v>
      </c>
    </row>
    <row r="62" spans="2:5" x14ac:dyDescent="0.2">
      <c r="B62" s="1" t="s">
        <v>85</v>
      </c>
      <c r="C62" s="1" t="s">
        <v>89</v>
      </c>
      <c r="D62" s="1">
        <v>23.473652123913599</v>
      </c>
      <c r="E62" s="1">
        <v>442.40041726924267</v>
      </c>
    </row>
    <row r="63" spans="2:5" x14ac:dyDescent="0.2">
      <c r="B63" s="1" t="s">
        <v>86</v>
      </c>
      <c r="C63" s="1" t="s">
        <v>88</v>
      </c>
      <c r="D63" s="1">
        <v>9.4640801992941537</v>
      </c>
      <c r="E63" s="1">
        <v>2051.1292073392165</v>
      </c>
    </row>
    <row r="64" spans="2:5" x14ac:dyDescent="0.2">
      <c r="B64" s="1" t="s">
        <v>86</v>
      </c>
      <c r="C64" s="1" t="s">
        <v>96</v>
      </c>
      <c r="D64" s="1">
        <v>5.5250559432147233</v>
      </c>
      <c r="E64" s="1">
        <v>2935.9300418777016</v>
      </c>
    </row>
    <row r="65" spans="2:5" x14ac:dyDescent="0.2">
      <c r="B65" s="1" t="s">
        <v>86</v>
      </c>
      <c r="C65" s="1" t="s">
        <v>98</v>
      </c>
      <c r="D65" s="1">
        <v>29.331608423697851</v>
      </c>
      <c r="E65" s="1">
        <v>1608.728790069973</v>
      </c>
    </row>
    <row r="66" spans="2:5" x14ac:dyDescent="0.2">
      <c r="B66" s="1" t="s">
        <v>86</v>
      </c>
      <c r="C66" s="1" t="s">
        <v>100</v>
      </c>
      <c r="D66" s="1">
        <v>32.061942449719403</v>
      </c>
      <c r="E66" s="1">
        <v>442.40041726924267</v>
      </c>
    </row>
    <row r="67" spans="2:5" x14ac:dyDescent="0.2">
      <c r="B67" s="1" t="s">
        <v>87</v>
      </c>
      <c r="C67" s="1" t="s">
        <v>99</v>
      </c>
      <c r="D67" s="1">
        <v>9.3497507130760145</v>
      </c>
      <c r="E67" s="1">
        <v>3659.857997409189</v>
      </c>
    </row>
    <row r="68" spans="2:5" x14ac:dyDescent="0.2">
      <c r="B68" s="1" t="s">
        <v>88</v>
      </c>
      <c r="C68" s="1" t="s">
        <v>96</v>
      </c>
      <c r="D68" s="1">
        <v>4.2960522923759257</v>
      </c>
      <c r="E68" s="1">
        <v>5268.5867874791629</v>
      </c>
    </row>
    <row r="69" spans="2:5" x14ac:dyDescent="0.2">
      <c r="B69" s="1" t="s">
        <v>89</v>
      </c>
      <c r="C69" s="1" t="s">
        <v>91</v>
      </c>
      <c r="D69" s="1">
        <v>9.2685176508316616</v>
      </c>
      <c r="E69" s="1">
        <v>1769.6016690769711</v>
      </c>
    </row>
    <row r="70" spans="2:5" x14ac:dyDescent="0.2">
      <c r="B70" s="1" t="s">
        <v>90</v>
      </c>
      <c r="C70" s="1" t="s">
        <v>95</v>
      </c>
      <c r="D70" s="1">
        <v>7.6841294141877947</v>
      </c>
      <c r="E70" s="1">
        <v>3659.857997409189</v>
      </c>
    </row>
    <row r="71" spans="2:5" x14ac:dyDescent="0.2">
      <c r="B71" s="1" t="s">
        <v>67</v>
      </c>
      <c r="C71" s="1" t="s">
        <v>72</v>
      </c>
      <c r="D71" s="1">
        <v>40.952331871216593</v>
      </c>
      <c r="E71" s="1">
        <v>1608.728790069973</v>
      </c>
    </row>
    <row r="72" spans="2:5" x14ac:dyDescent="0.2">
      <c r="B72" s="1" t="s">
        <v>90</v>
      </c>
      <c r="C72" s="1" t="s">
        <v>105</v>
      </c>
      <c r="D72" s="1">
        <v>7.0963703767689337</v>
      </c>
      <c r="E72" s="1">
        <v>1327.2012518077277</v>
      </c>
    </row>
    <row r="73" spans="2:5" x14ac:dyDescent="0.2">
      <c r="B73" s="1" t="s">
        <v>91</v>
      </c>
      <c r="C73" s="1" t="s">
        <v>102</v>
      </c>
      <c r="D73" s="1">
        <v>21.39058670728862</v>
      </c>
      <c r="E73" s="1">
        <v>884.80083453848533</v>
      </c>
    </row>
    <row r="74" spans="2:5" x14ac:dyDescent="0.2">
      <c r="B74" s="1" t="s">
        <v>92</v>
      </c>
      <c r="C74" s="1" t="s">
        <v>93</v>
      </c>
      <c r="D74" s="1">
        <v>34.272769298922341</v>
      </c>
      <c r="E74" s="1">
        <v>442.40041726924267</v>
      </c>
    </row>
    <row r="75" spans="2:5" x14ac:dyDescent="0.2">
      <c r="B75" s="1" t="s">
        <v>92</v>
      </c>
      <c r="C75" s="1" t="s">
        <v>94</v>
      </c>
      <c r="D75" s="1">
        <v>3.015405987701675</v>
      </c>
      <c r="E75" s="1">
        <v>8204.516829356864</v>
      </c>
    </row>
    <row r="76" spans="2:5" x14ac:dyDescent="0.2">
      <c r="B76" s="1" t="s">
        <v>92</v>
      </c>
      <c r="C76" s="1" t="s">
        <v>111</v>
      </c>
      <c r="D76" s="1">
        <v>37.853195073141762</v>
      </c>
      <c r="E76" s="1">
        <v>1608.728790069973</v>
      </c>
    </row>
    <row r="77" spans="2:5" x14ac:dyDescent="0.2">
      <c r="B77" s="1" t="s">
        <v>93</v>
      </c>
      <c r="C77" s="1" t="s">
        <v>94</v>
      </c>
      <c r="D77" s="1">
        <v>13.217057608613059</v>
      </c>
      <c r="E77" s="1">
        <v>4826.1863702099199</v>
      </c>
    </row>
    <row r="78" spans="2:5" x14ac:dyDescent="0.2">
      <c r="B78" s="1" t="s">
        <v>93</v>
      </c>
      <c r="C78" s="1" t="s">
        <v>111</v>
      </c>
      <c r="D78" s="1">
        <v>23.2202657686422</v>
      </c>
      <c r="E78" s="1">
        <v>1608.728790069973</v>
      </c>
    </row>
    <row r="79" spans="2:5" x14ac:dyDescent="0.2">
      <c r="B79" s="1" t="s">
        <v>94</v>
      </c>
      <c r="C79" s="1" t="s">
        <v>97</v>
      </c>
      <c r="D79" s="1">
        <v>18.982176181979089</v>
      </c>
      <c r="E79" s="1">
        <v>3217.4575801399465</v>
      </c>
    </row>
    <row r="80" spans="2:5" x14ac:dyDescent="0.2">
      <c r="B80" s="1" t="s">
        <v>95</v>
      </c>
      <c r="C80" s="1" t="s">
        <v>105</v>
      </c>
      <c r="D80" s="1">
        <v>3.1784868645964859</v>
      </c>
      <c r="E80" s="1">
        <v>2212.0020863462132</v>
      </c>
    </row>
    <row r="81" spans="2:5" x14ac:dyDescent="0.2">
      <c r="B81" s="1" t="s">
        <v>95</v>
      </c>
      <c r="C81" s="1" t="s">
        <v>105</v>
      </c>
      <c r="D81" s="1">
        <v>0</v>
      </c>
      <c r="E81" s="1">
        <v>3056.5889999999999</v>
      </c>
    </row>
    <row r="82" spans="2:5" x14ac:dyDescent="0.2">
      <c r="B82" s="1" t="s">
        <v>67</v>
      </c>
      <c r="C82" s="1" t="s">
        <v>87</v>
      </c>
      <c r="D82" s="1">
        <v>6.4541943522926557</v>
      </c>
      <c r="E82" s="1">
        <v>3659.857997409189</v>
      </c>
    </row>
    <row r="83" spans="2:5" x14ac:dyDescent="0.2">
      <c r="B83" s="1" t="s">
        <v>95</v>
      </c>
      <c r="C83" s="1" t="s">
        <v>107</v>
      </c>
      <c r="D83" s="1">
        <v>15.71226546698772</v>
      </c>
      <c r="E83" s="1">
        <v>3217.4575801399465</v>
      </c>
    </row>
    <row r="84" spans="2:5" x14ac:dyDescent="0.2">
      <c r="B84" s="1" t="s">
        <v>95</v>
      </c>
      <c r="C84" s="1" t="s">
        <v>107</v>
      </c>
      <c r="D84" s="1">
        <v>0</v>
      </c>
      <c r="E84" s="1">
        <v>3056.5889999999999</v>
      </c>
    </row>
    <row r="85" spans="2:5" x14ac:dyDescent="0.2">
      <c r="B85" s="1" t="s">
        <v>96</v>
      </c>
      <c r="C85" s="1" t="s">
        <v>100</v>
      </c>
      <c r="D85" s="1">
        <v>7.8585521939249183</v>
      </c>
      <c r="E85" s="1">
        <v>4102.2584146784329</v>
      </c>
    </row>
    <row r="86" spans="2:5" x14ac:dyDescent="0.2">
      <c r="B86" s="1" t="s">
        <v>98</v>
      </c>
      <c r="C86" s="1" t="s">
        <v>102</v>
      </c>
      <c r="D86" s="1">
        <v>5.0355148388024782</v>
      </c>
      <c r="E86" s="1">
        <v>4544.658831947675</v>
      </c>
    </row>
    <row r="87" spans="2:5" x14ac:dyDescent="0.2">
      <c r="B87" s="1" t="s">
        <v>100</v>
      </c>
      <c r="C87" s="1" t="s">
        <v>103</v>
      </c>
      <c r="D87" s="1">
        <v>9.2751933805249021</v>
      </c>
      <c r="E87" s="1">
        <v>4102.2584146784329</v>
      </c>
    </row>
    <row r="88" spans="2:5" x14ac:dyDescent="0.2">
      <c r="B88" s="1" t="s">
        <v>104</v>
      </c>
      <c r="C88" s="1" t="s">
        <v>109</v>
      </c>
      <c r="D88" s="1">
        <v>34.635602148382418</v>
      </c>
      <c r="E88" s="1">
        <v>1608.728790069973</v>
      </c>
    </row>
    <row r="89" spans="2:5" x14ac:dyDescent="0.2">
      <c r="B89" s="1" t="s">
        <v>106</v>
      </c>
      <c r="C89" s="1" t="s">
        <v>109</v>
      </c>
      <c r="D89" s="1">
        <v>16.575315424120681</v>
      </c>
      <c r="E89" s="1">
        <v>3217.4575801399465</v>
      </c>
    </row>
    <row r="90" spans="2:5" x14ac:dyDescent="0.2">
      <c r="B90" s="1" t="s">
        <v>106</v>
      </c>
      <c r="C90" s="1" t="s">
        <v>110</v>
      </c>
      <c r="D90" s="1">
        <v>3.6295743306124741</v>
      </c>
      <c r="E90" s="1">
        <v>5871.8600837554022</v>
      </c>
    </row>
    <row r="91" spans="2:5" x14ac:dyDescent="0.2">
      <c r="B91" s="1" t="s">
        <v>106</v>
      </c>
      <c r="C91" s="1" t="s">
        <v>111</v>
      </c>
      <c r="D91" s="1">
        <v>29.528287650174502</v>
      </c>
      <c r="E91" s="1">
        <v>1608.728790069973</v>
      </c>
    </row>
    <row r="92" spans="2:5" x14ac:dyDescent="0.2">
      <c r="B92" s="1" t="s">
        <v>107</v>
      </c>
      <c r="C92" s="1" t="s">
        <v>112</v>
      </c>
      <c r="D92" s="1">
        <v>4.0870533580497641</v>
      </c>
      <c r="E92" s="1">
        <v>4987.0592492169171</v>
      </c>
    </row>
    <row r="93" spans="2:5" x14ac:dyDescent="0.2">
      <c r="B93" s="1" t="s">
        <v>67</v>
      </c>
      <c r="C93" s="1" t="s">
        <v>102</v>
      </c>
      <c r="D93" s="1">
        <v>8.3499774609687787</v>
      </c>
      <c r="E93" s="1">
        <v>8043.6439503498659</v>
      </c>
    </row>
    <row r="94" spans="2:5" x14ac:dyDescent="0.2">
      <c r="B94" s="1" t="s">
        <v>107</v>
      </c>
      <c r="C94" s="1" t="s">
        <v>113</v>
      </c>
      <c r="D94" s="1">
        <v>2.497793180304178</v>
      </c>
      <c r="E94" s="1">
        <v>10698.046453965322</v>
      </c>
    </row>
    <row r="95" spans="2:5" x14ac:dyDescent="0.2">
      <c r="B95" s="1" t="s">
        <v>107</v>
      </c>
      <c r="C95" s="1" t="s">
        <v>113</v>
      </c>
      <c r="D95" s="1">
        <v>0</v>
      </c>
      <c r="E95" s="1">
        <v>3056.5889999999999</v>
      </c>
    </row>
    <row r="96" spans="2:5" x14ac:dyDescent="0.2">
      <c r="B96" s="1" t="s">
        <v>108</v>
      </c>
      <c r="C96" s="1" t="s">
        <v>110</v>
      </c>
      <c r="D96" s="1">
        <v>18.259514372761348</v>
      </c>
      <c r="E96" s="1">
        <v>884.80083453848533</v>
      </c>
    </row>
    <row r="97" spans="2:5" x14ac:dyDescent="0.2">
      <c r="B97" s="1" t="s">
        <v>108</v>
      </c>
      <c r="C97" s="1" t="s">
        <v>111</v>
      </c>
      <c r="D97" s="1">
        <v>44.111583857028762</v>
      </c>
      <c r="E97" s="1">
        <v>1608.728790069973</v>
      </c>
    </row>
    <row r="98" spans="2:5" x14ac:dyDescent="0.2">
      <c r="B98" s="1" t="s">
        <v>108</v>
      </c>
      <c r="C98" s="1" t="s">
        <v>112</v>
      </c>
      <c r="D98" s="1">
        <v>5.5549419631575443</v>
      </c>
      <c r="E98" s="1">
        <v>2935.9300418777007</v>
      </c>
    </row>
    <row r="99" spans="2:5" x14ac:dyDescent="0.2">
      <c r="B99" s="1" t="s">
        <v>108</v>
      </c>
      <c r="C99" s="1" t="s">
        <v>113</v>
      </c>
      <c r="D99" s="1">
        <v>7.3645009402854908</v>
      </c>
      <c r="E99" s="1">
        <v>2935.9300418777007</v>
      </c>
    </row>
    <row r="100" spans="2:5" x14ac:dyDescent="0.2">
      <c r="B100" s="1" t="s">
        <v>109</v>
      </c>
      <c r="C100" s="1" t="s">
        <v>111</v>
      </c>
      <c r="D100" s="1">
        <v>33.485661133224987</v>
      </c>
      <c r="E100" s="1">
        <v>1608.728790069973</v>
      </c>
    </row>
    <row r="101" spans="2:5" x14ac:dyDescent="0.2">
      <c r="B101" s="1" t="s">
        <v>110</v>
      </c>
      <c r="C101" s="1" t="s">
        <v>111</v>
      </c>
      <c r="D101" s="1">
        <v>30.907247323775319</v>
      </c>
      <c r="E101" s="1">
        <v>1608.728790069973</v>
      </c>
    </row>
    <row r="102" spans="2:5" x14ac:dyDescent="0.2">
      <c r="B102" s="1" t="s">
        <v>110</v>
      </c>
      <c r="C102" s="1" t="s">
        <v>112</v>
      </c>
      <c r="D102" s="1">
        <v>3.0263996591392668</v>
      </c>
      <c r="E102" s="1">
        <v>9370.8452021575958</v>
      </c>
    </row>
  </sheetData>
  <mergeCells count="1">
    <mergeCell ref="B2:E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8BBF6-9D5E-D340-807C-9AF33E193301}">
  <sheetPr codeName="Sheet3">
    <tabColor theme="5" tint="0.39997558519241921"/>
  </sheetPr>
  <dimension ref="B1:J21"/>
  <sheetViews>
    <sheetView showGridLines="0" zoomScale="109" workbookViewId="0">
      <selection activeCell="F24" sqref="F24"/>
    </sheetView>
  </sheetViews>
  <sheetFormatPr baseColWidth="10" defaultColWidth="11.1640625" defaultRowHeight="16" x14ac:dyDescent="0.2"/>
  <cols>
    <col min="1" max="1" width="30.6640625" customWidth="1"/>
    <col min="2" max="2" width="6.83203125" style="2" customWidth="1"/>
    <col min="3" max="3" width="11.83203125" style="2" customWidth="1"/>
    <col min="4" max="4" width="17.5" style="2" customWidth="1"/>
    <col min="5" max="5" width="5.1640625" customWidth="1"/>
    <col min="6" max="6" width="28" customWidth="1"/>
  </cols>
  <sheetData>
    <row r="1" spans="2:10" ht="58" customHeight="1" x14ac:dyDescent="0.2">
      <c r="B1"/>
      <c r="C1"/>
      <c r="D1"/>
    </row>
    <row r="2" spans="2:10" x14ac:dyDescent="0.2">
      <c r="B2" s="47" t="s">
        <v>28</v>
      </c>
      <c r="C2" s="47"/>
      <c r="D2" s="47"/>
      <c r="F2" s="7"/>
    </row>
    <row r="3" spans="2:10" x14ac:dyDescent="0.2">
      <c r="B3" s="8" t="s">
        <v>29</v>
      </c>
      <c r="C3" s="8" t="s">
        <v>27</v>
      </c>
      <c r="D3" s="3" t="s">
        <v>5</v>
      </c>
      <c r="F3" s="1" t="s">
        <v>134</v>
      </c>
      <c r="G3" s="1" t="s">
        <v>64</v>
      </c>
      <c r="H3" s="1" t="s">
        <v>63</v>
      </c>
      <c r="I3" s="1" t="s">
        <v>135</v>
      </c>
    </row>
    <row r="4" spans="2:10" x14ac:dyDescent="0.2">
      <c r="B4" s="2" t="s">
        <v>88</v>
      </c>
      <c r="C4" s="1" t="s">
        <v>136</v>
      </c>
      <c r="D4" s="2">
        <v>500</v>
      </c>
      <c r="F4" s="1">
        <v>380</v>
      </c>
      <c r="G4" s="1">
        <v>1.5</v>
      </c>
      <c r="H4" s="1">
        <v>43.2</v>
      </c>
      <c r="I4" s="1" t="s">
        <v>136</v>
      </c>
    </row>
    <row r="5" spans="2:10" x14ac:dyDescent="0.2">
      <c r="B5" s="2" t="s">
        <v>91</v>
      </c>
      <c r="C5" s="1" t="s">
        <v>136</v>
      </c>
      <c r="D5" s="2">
        <v>300</v>
      </c>
      <c r="F5" s="1">
        <v>380</v>
      </c>
      <c r="G5" s="1">
        <v>-5.8</v>
      </c>
      <c r="H5" s="1">
        <v>35.78</v>
      </c>
      <c r="I5" s="1" t="s">
        <v>137</v>
      </c>
    </row>
    <row r="6" spans="2:10" x14ac:dyDescent="0.2">
      <c r="B6" s="2" t="s">
        <v>85</v>
      </c>
      <c r="C6" s="1" t="s">
        <v>136</v>
      </c>
      <c r="D6" s="2">
        <v>2000</v>
      </c>
    </row>
    <row r="7" spans="2:10" x14ac:dyDescent="0.2">
      <c r="B7" s="2" t="s">
        <v>81</v>
      </c>
      <c r="C7" s="1" t="s">
        <v>137</v>
      </c>
      <c r="D7" s="11">
        <v>1400</v>
      </c>
    </row>
    <row r="8" spans="2:10" x14ac:dyDescent="0.2">
      <c r="B8" s="1"/>
      <c r="C8" s="1"/>
      <c r="D8" s="1"/>
    </row>
    <row r="9" spans="2:10" x14ac:dyDescent="0.2">
      <c r="B9" s="1"/>
      <c r="C9" s="1"/>
      <c r="D9" s="1"/>
    </row>
    <row r="10" spans="2:10" x14ac:dyDescent="0.2">
      <c r="B10" s="1"/>
      <c r="C10" s="1"/>
      <c r="D10" s="1"/>
    </row>
    <row r="11" spans="2:10" x14ac:dyDescent="0.2">
      <c r="B11" s="1"/>
      <c r="C11" s="1"/>
      <c r="D11" s="1"/>
    </row>
    <row r="12" spans="2:10" x14ac:dyDescent="0.2">
      <c r="B12" s="1"/>
      <c r="C12" s="1"/>
      <c r="D12" s="1"/>
    </row>
    <row r="13" spans="2:10" x14ac:dyDescent="0.2">
      <c r="B13" s="1"/>
      <c r="C13" s="1"/>
      <c r="D13" s="1"/>
    </row>
    <row r="14" spans="2:10" x14ac:dyDescent="0.2">
      <c r="B14" s="1"/>
      <c r="C14" s="1"/>
      <c r="D14" s="1"/>
      <c r="I14" s="7"/>
      <c r="J14" s="7"/>
    </row>
    <row r="15" spans="2:10" x14ac:dyDescent="0.2">
      <c r="B15" s="1"/>
      <c r="C15" s="1"/>
      <c r="D15" s="1"/>
      <c r="I15" s="7"/>
      <c r="J15" s="7"/>
    </row>
    <row r="16" spans="2:10" x14ac:dyDescent="0.2">
      <c r="B16" s="1"/>
      <c r="C16" s="1"/>
      <c r="D16" s="1"/>
      <c r="I16" s="7" t="s">
        <v>27</v>
      </c>
      <c r="J16" s="7"/>
    </row>
    <row r="17" spans="2:10" x14ac:dyDescent="0.2">
      <c r="B17" s="1"/>
      <c r="C17" s="1"/>
      <c r="D17" s="1"/>
      <c r="I17" s="7" t="s">
        <v>31</v>
      </c>
      <c r="J17" s="7"/>
    </row>
    <row r="18" spans="2:10" x14ac:dyDescent="0.2">
      <c r="B18" s="1"/>
      <c r="C18" s="1"/>
      <c r="D18" s="1"/>
      <c r="I18" s="10" t="s">
        <v>34</v>
      </c>
      <c r="J18" s="9" t="s">
        <v>33</v>
      </c>
    </row>
    <row r="19" spans="2:10" x14ac:dyDescent="0.2">
      <c r="B19" s="1"/>
      <c r="C19" s="1"/>
      <c r="D19" s="1"/>
      <c r="I19" s="7" t="s">
        <v>31</v>
      </c>
    </row>
    <row r="20" spans="2:10" x14ac:dyDescent="0.2">
      <c r="B20" s="13"/>
      <c r="C20" s="13"/>
      <c r="D20" s="1"/>
      <c r="I20" s="7" t="s">
        <v>32</v>
      </c>
    </row>
    <row r="21" spans="2:10" x14ac:dyDescent="0.2">
      <c r="I21" s="7"/>
    </row>
  </sheetData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9EDD0-6FCA-554D-AD94-BC77F89E87D8}">
  <sheetPr codeName="Sheet5">
    <tabColor theme="6" tint="0.39997558519241921"/>
  </sheetPr>
  <dimension ref="B1:T65"/>
  <sheetViews>
    <sheetView showGridLines="0" zoomScale="71" workbookViewId="0">
      <selection activeCell="G48" sqref="G48"/>
    </sheetView>
  </sheetViews>
  <sheetFormatPr baseColWidth="10" defaultColWidth="11.1640625" defaultRowHeight="16" x14ac:dyDescent="0.2"/>
  <cols>
    <col min="1" max="1" width="6.5" customWidth="1"/>
    <col min="2" max="2" width="25.33203125" style="2" bestFit="1" customWidth="1"/>
    <col min="3" max="3" width="9.33203125" style="2" bestFit="1" customWidth="1"/>
    <col min="4" max="4" width="12.6640625" style="2" bestFit="1" customWidth="1"/>
    <col min="5" max="5" width="24.6640625" style="2" bestFit="1" customWidth="1"/>
    <col min="6" max="6" width="20.33203125" style="2" bestFit="1" customWidth="1"/>
    <col min="7" max="7" width="23.6640625" style="2" bestFit="1" customWidth="1"/>
    <col min="8" max="8" width="16.5" style="1" customWidth="1"/>
    <col min="9" max="9" width="25.5" style="2" customWidth="1"/>
    <col min="10" max="10" width="26.6640625" style="2" bestFit="1" customWidth="1"/>
    <col min="11" max="11" width="15" style="2" bestFit="1" customWidth="1"/>
    <col min="12" max="12" width="17.83203125" style="2" bestFit="1" customWidth="1"/>
    <col min="13" max="13" width="18.1640625" style="2" bestFit="1" customWidth="1"/>
    <col min="14" max="14" width="20.83203125" style="2" bestFit="1" customWidth="1"/>
    <col min="15" max="15" width="17.83203125" style="2" bestFit="1" customWidth="1"/>
    <col min="16" max="16" width="7.83203125" style="2" bestFit="1" customWidth="1"/>
    <col min="17" max="17" width="10.33203125" style="2" bestFit="1" customWidth="1"/>
    <col min="18" max="18" width="17" style="2" bestFit="1" customWidth="1"/>
    <col min="19" max="20" width="20" style="2" bestFit="1" customWidth="1"/>
  </cols>
  <sheetData>
    <row r="1" spans="2:20" ht="70" customHeight="1" x14ac:dyDescent="0.2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</row>
    <row r="2" spans="2:20" ht="19" x14ac:dyDescent="0.25">
      <c r="B2" s="45"/>
      <c r="C2" s="45"/>
      <c r="D2" s="49" t="s">
        <v>41</v>
      </c>
      <c r="E2" s="49"/>
      <c r="F2" s="51" t="s">
        <v>52</v>
      </c>
      <c r="G2" s="51"/>
      <c r="H2" s="51"/>
      <c r="I2" s="51"/>
      <c r="J2" s="51"/>
      <c r="K2" s="51"/>
      <c r="L2" s="51"/>
      <c r="M2" s="51"/>
      <c r="N2" s="51"/>
      <c r="O2" s="51"/>
      <c r="P2" s="50" t="s">
        <v>44</v>
      </c>
      <c r="Q2" s="50"/>
      <c r="R2" s="50"/>
      <c r="S2" s="50"/>
      <c r="T2" s="50"/>
    </row>
    <row r="3" spans="2:20" ht="21" x14ac:dyDescent="0.2">
      <c r="B3" s="44" t="s">
        <v>6</v>
      </c>
      <c r="C3" s="44" t="s">
        <v>138</v>
      </c>
      <c r="D3" s="30" t="s">
        <v>148</v>
      </c>
      <c r="E3" s="44" t="s">
        <v>3</v>
      </c>
      <c r="F3" s="30" t="s">
        <v>39</v>
      </c>
      <c r="G3" s="30" t="s">
        <v>40</v>
      </c>
      <c r="H3" s="44" t="s">
        <v>150</v>
      </c>
      <c r="I3" s="30" t="s">
        <v>42</v>
      </c>
      <c r="J3" s="30" t="s">
        <v>43</v>
      </c>
      <c r="K3" s="30" t="s">
        <v>47</v>
      </c>
      <c r="L3" s="30" t="s">
        <v>48</v>
      </c>
      <c r="M3" s="30" t="s">
        <v>49</v>
      </c>
      <c r="N3" s="30" t="s">
        <v>50</v>
      </c>
      <c r="O3" s="30" t="s">
        <v>53</v>
      </c>
      <c r="P3" s="30" t="s">
        <v>38</v>
      </c>
      <c r="Q3" s="32" t="s">
        <v>141</v>
      </c>
      <c r="R3" s="30" t="s">
        <v>45</v>
      </c>
      <c r="S3" s="30" t="s">
        <v>46</v>
      </c>
      <c r="T3" s="30" t="s">
        <v>51</v>
      </c>
    </row>
    <row r="4" spans="2:20" ht="19" x14ac:dyDescent="0.25">
      <c r="B4" s="29" t="s">
        <v>72</v>
      </c>
      <c r="C4" s="33" t="s">
        <v>139</v>
      </c>
      <c r="D4" s="29">
        <v>1861.4504999999997</v>
      </c>
      <c r="E4" s="29">
        <v>2659.2149999999997</v>
      </c>
      <c r="F4" s="29">
        <v>0.05</v>
      </c>
      <c r="G4" s="29">
        <v>0.05</v>
      </c>
      <c r="H4" s="43" t="b">
        <v>1</v>
      </c>
      <c r="I4" s="29">
        <v>0.05</v>
      </c>
      <c r="J4" s="29">
        <v>0.05</v>
      </c>
      <c r="K4" s="29">
        <v>168</v>
      </c>
      <c r="L4" s="29">
        <v>48</v>
      </c>
      <c r="M4" s="29">
        <v>168</v>
      </c>
      <c r="N4" s="34">
        <v>0</v>
      </c>
      <c r="O4" s="29">
        <v>2659.2149999999997</v>
      </c>
      <c r="P4" s="37">
        <v>10</v>
      </c>
      <c r="Q4" s="36">
        <v>1</v>
      </c>
      <c r="R4" s="37">
        <f>E4*95</f>
        <v>252625.42499999996</v>
      </c>
      <c r="S4" s="35" t="s">
        <v>142</v>
      </c>
      <c r="T4" s="35" t="s">
        <v>142</v>
      </c>
    </row>
    <row r="5" spans="2:20" ht="19" x14ac:dyDescent="0.25">
      <c r="B5" s="29" t="s">
        <v>80</v>
      </c>
      <c r="C5" s="33" t="s">
        <v>139</v>
      </c>
      <c r="D5" s="29">
        <v>630.53899999999999</v>
      </c>
      <c r="E5" s="29">
        <v>900.77</v>
      </c>
      <c r="F5" s="29">
        <v>0.05</v>
      </c>
      <c r="G5" s="29">
        <v>0.05</v>
      </c>
      <c r="H5" s="43" t="b">
        <v>1</v>
      </c>
      <c r="I5" s="29">
        <v>0.05</v>
      </c>
      <c r="J5" s="29">
        <v>0.05</v>
      </c>
      <c r="K5" s="29">
        <v>168</v>
      </c>
      <c r="L5" s="29">
        <v>48</v>
      </c>
      <c r="M5" s="29">
        <v>168</v>
      </c>
      <c r="N5" s="34">
        <v>0</v>
      </c>
      <c r="O5" s="29">
        <v>900.77</v>
      </c>
      <c r="P5" s="37">
        <v>10</v>
      </c>
      <c r="Q5" s="36">
        <v>1</v>
      </c>
      <c r="R5" s="37">
        <f t="shared" ref="R5:R7" si="0">E5*95</f>
        <v>85573.15</v>
      </c>
      <c r="S5" s="35" t="s">
        <v>142</v>
      </c>
      <c r="T5" s="35" t="s">
        <v>142</v>
      </c>
    </row>
    <row r="6" spans="2:20" ht="19" x14ac:dyDescent="0.25">
      <c r="B6" s="29" t="s">
        <v>87</v>
      </c>
      <c r="C6" s="33" t="s">
        <v>139</v>
      </c>
      <c r="D6" s="29">
        <v>651.83299999999997</v>
      </c>
      <c r="E6" s="29">
        <v>931.18999999999994</v>
      </c>
      <c r="F6" s="29">
        <v>0.05</v>
      </c>
      <c r="G6" s="29">
        <v>0.05</v>
      </c>
      <c r="H6" s="43" t="b">
        <v>1</v>
      </c>
      <c r="I6" s="29">
        <v>0.05</v>
      </c>
      <c r="J6" s="29">
        <v>0.05</v>
      </c>
      <c r="K6" s="29">
        <v>168</v>
      </c>
      <c r="L6" s="29">
        <v>48</v>
      </c>
      <c r="M6" s="29">
        <v>168</v>
      </c>
      <c r="N6" s="34">
        <v>0</v>
      </c>
      <c r="O6" s="29">
        <v>931.18999999999994</v>
      </c>
      <c r="P6" s="37">
        <v>10</v>
      </c>
      <c r="Q6" s="36">
        <v>1</v>
      </c>
      <c r="R6" s="37">
        <f>E6*95</f>
        <v>88463.049999999988</v>
      </c>
      <c r="S6" s="35" t="s">
        <v>142</v>
      </c>
      <c r="T6" s="35" t="s">
        <v>142</v>
      </c>
    </row>
    <row r="7" spans="2:20" ht="19" x14ac:dyDescent="0.25">
      <c r="B7" s="29" t="s">
        <v>94</v>
      </c>
      <c r="C7" s="33" t="s">
        <v>139</v>
      </c>
      <c r="D7" s="29">
        <v>1238.0094999999999</v>
      </c>
      <c r="E7" s="29">
        <v>1768.585</v>
      </c>
      <c r="F7" s="29">
        <v>0.05</v>
      </c>
      <c r="G7" s="29">
        <v>0.05</v>
      </c>
      <c r="H7" s="43" t="b">
        <v>1</v>
      </c>
      <c r="I7" s="29">
        <v>0.05</v>
      </c>
      <c r="J7" s="29">
        <v>0.05</v>
      </c>
      <c r="K7" s="29">
        <v>168</v>
      </c>
      <c r="L7" s="29">
        <v>48</v>
      </c>
      <c r="M7" s="29">
        <v>168</v>
      </c>
      <c r="N7" s="34">
        <v>0</v>
      </c>
      <c r="O7" s="29">
        <v>1768.585</v>
      </c>
      <c r="P7" s="37">
        <v>10</v>
      </c>
      <c r="Q7" s="38">
        <v>1</v>
      </c>
      <c r="R7" s="37">
        <f t="shared" si="0"/>
        <v>168015.57500000001</v>
      </c>
      <c r="S7" s="35" t="s">
        <v>142</v>
      </c>
      <c r="T7" s="35" t="s">
        <v>142</v>
      </c>
    </row>
    <row r="8" spans="2:20" ht="19" x14ac:dyDescent="0.25">
      <c r="B8" s="29" t="s">
        <v>65</v>
      </c>
      <c r="C8" s="31" t="s">
        <v>140</v>
      </c>
      <c r="D8" s="36">
        <f>0.4*E8</f>
        <v>334.40000000000003</v>
      </c>
      <c r="E8" s="36">
        <v>836</v>
      </c>
      <c r="F8" s="36">
        <v>0.5</v>
      </c>
      <c r="G8" s="36">
        <v>0.5</v>
      </c>
      <c r="H8" s="43" t="b">
        <v>1</v>
      </c>
      <c r="I8" s="36">
        <v>0.5</v>
      </c>
      <c r="J8" s="36">
        <v>0.5</v>
      </c>
      <c r="K8" s="36">
        <v>3</v>
      </c>
      <c r="L8" s="36">
        <v>2</v>
      </c>
      <c r="M8" s="34">
        <v>0</v>
      </c>
      <c r="N8" s="36">
        <v>2</v>
      </c>
      <c r="O8" s="34">
        <v>0</v>
      </c>
      <c r="P8" s="35" t="s">
        <v>142</v>
      </c>
      <c r="Q8" s="39">
        <v>0.6</v>
      </c>
      <c r="R8" s="36">
        <f>E8*40</f>
        <v>33440</v>
      </c>
      <c r="S8" s="36">
        <v>0</v>
      </c>
      <c r="T8" s="36">
        <v>0</v>
      </c>
    </row>
    <row r="9" spans="2:20" ht="19" x14ac:dyDescent="0.25">
      <c r="B9" s="29" t="s">
        <v>66</v>
      </c>
      <c r="C9" s="31" t="s">
        <v>140</v>
      </c>
      <c r="D9" s="36">
        <f t="shared" ref="D9:D38" si="1">0.4*E9</f>
        <v>1043.28</v>
      </c>
      <c r="E9" s="36">
        <v>2608.1999999999998</v>
      </c>
      <c r="F9" s="36">
        <v>0.5</v>
      </c>
      <c r="G9" s="36">
        <v>0.5</v>
      </c>
      <c r="H9" s="43" t="b">
        <v>1</v>
      </c>
      <c r="I9" s="36">
        <v>0.5</v>
      </c>
      <c r="J9" s="36">
        <v>0.5</v>
      </c>
      <c r="K9" s="36">
        <v>3</v>
      </c>
      <c r="L9" s="36">
        <v>2</v>
      </c>
      <c r="M9" s="34">
        <v>0</v>
      </c>
      <c r="N9" s="36">
        <v>2</v>
      </c>
      <c r="O9" s="34">
        <v>0</v>
      </c>
      <c r="P9" s="35" t="s">
        <v>142</v>
      </c>
      <c r="Q9" s="39">
        <v>0.58718656544743497</v>
      </c>
      <c r="R9" s="36">
        <f t="shared" ref="R9:R38" si="2">E9*40</f>
        <v>104328</v>
      </c>
      <c r="S9" s="36">
        <v>0</v>
      </c>
      <c r="T9" s="36">
        <v>0</v>
      </c>
    </row>
    <row r="10" spans="2:20" ht="19" x14ac:dyDescent="0.25">
      <c r="B10" s="29" t="s">
        <v>67</v>
      </c>
      <c r="C10" s="31" t="s">
        <v>140</v>
      </c>
      <c r="D10" s="36">
        <f t="shared" si="1"/>
        <v>1159.24</v>
      </c>
      <c r="E10" s="36">
        <v>2898.1</v>
      </c>
      <c r="F10" s="36">
        <v>0.5</v>
      </c>
      <c r="G10" s="36">
        <v>0.5</v>
      </c>
      <c r="H10" s="43" t="b">
        <v>1</v>
      </c>
      <c r="I10" s="36">
        <v>0.5</v>
      </c>
      <c r="J10" s="36">
        <v>0.5</v>
      </c>
      <c r="K10" s="36">
        <v>3</v>
      </c>
      <c r="L10" s="36">
        <v>2</v>
      </c>
      <c r="M10" s="34">
        <v>0</v>
      </c>
      <c r="N10" s="36">
        <v>2</v>
      </c>
      <c r="O10" s="34">
        <v>0</v>
      </c>
      <c r="P10" s="35" t="s">
        <v>142</v>
      </c>
      <c r="Q10" s="39">
        <v>0.58809606293778693</v>
      </c>
      <c r="R10" s="36">
        <f t="shared" si="2"/>
        <v>115924</v>
      </c>
      <c r="S10" s="36">
        <v>0</v>
      </c>
      <c r="T10" s="36">
        <v>0</v>
      </c>
    </row>
    <row r="11" spans="2:20" ht="19" x14ac:dyDescent="0.25">
      <c r="B11" s="29" t="s">
        <v>68</v>
      </c>
      <c r="C11" s="31" t="s">
        <v>140</v>
      </c>
      <c r="D11" s="36">
        <f t="shared" si="1"/>
        <v>30.400000000000002</v>
      </c>
      <c r="E11" s="36">
        <v>76</v>
      </c>
      <c r="F11" s="36">
        <v>0.5</v>
      </c>
      <c r="G11" s="36">
        <v>0.5</v>
      </c>
      <c r="H11" s="43" t="b">
        <v>1</v>
      </c>
      <c r="I11" s="36">
        <v>0.5</v>
      </c>
      <c r="J11" s="36">
        <v>0.5</v>
      </c>
      <c r="K11" s="36">
        <v>3</v>
      </c>
      <c r="L11" s="36">
        <v>2</v>
      </c>
      <c r="M11" s="34">
        <v>0</v>
      </c>
      <c r="N11" s="36">
        <v>2</v>
      </c>
      <c r="O11" s="34">
        <v>0</v>
      </c>
      <c r="P11" s="35" t="s">
        <v>142</v>
      </c>
      <c r="Q11" s="39">
        <v>0.6</v>
      </c>
      <c r="R11" s="36">
        <f t="shared" si="2"/>
        <v>3040</v>
      </c>
      <c r="S11" s="36">
        <v>0</v>
      </c>
      <c r="T11" s="36">
        <v>0</v>
      </c>
    </row>
    <row r="12" spans="2:20" ht="19" x14ac:dyDescent="0.25">
      <c r="B12" s="29" t="s">
        <v>69</v>
      </c>
      <c r="C12" s="31" t="s">
        <v>140</v>
      </c>
      <c r="D12" s="36">
        <f t="shared" si="1"/>
        <v>38.400000000000006</v>
      </c>
      <c r="E12" s="36">
        <v>96</v>
      </c>
      <c r="F12" s="36">
        <v>0.5</v>
      </c>
      <c r="G12" s="36">
        <v>0.5</v>
      </c>
      <c r="H12" s="43" t="b">
        <v>1</v>
      </c>
      <c r="I12" s="36">
        <v>0.5</v>
      </c>
      <c r="J12" s="36">
        <v>0.5</v>
      </c>
      <c r="K12" s="36">
        <v>3</v>
      </c>
      <c r="L12" s="36">
        <v>2</v>
      </c>
      <c r="M12" s="34">
        <v>0</v>
      </c>
      <c r="N12" s="36">
        <v>2</v>
      </c>
      <c r="O12" s="34">
        <v>0</v>
      </c>
      <c r="P12" s="35" t="s">
        <v>142</v>
      </c>
      <c r="Q12" s="39">
        <v>0.6</v>
      </c>
      <c r="R12" s="36">
        <f t="shared" si="2"/>
        <v>3840</v>
      </c>
      <c r="S12" s="36">
        <v>0</v>
      </c>
      <c r="T12" s="36">
        <v>0</v>
      </c>
    </row>
    <row r="13" spans="2:20" ht="19" x14ac:dyDescent="0.25">
      <c r="B13" s="29" t="s">
        <v>72</v>
      </c>
      <c r="C13" s="31" t="s">
        <v>140</v>
      </c>
      <c r="D13" s="36">
        <f t="shared" si="1"/>
        <v>358.84000000000003</v>
      </c>
      <c r="E13" s="36">
        <v>897.1</v>
      </c>
      <c r="F13" s="36">
        <v>0.5</v>
      </c>
      <c r="G13" s="36">
        <v>0.5</v>
      </c>
      <c r="H13" s="43" t="b">
        <v>1</v>
      </c>
      <c r="I13" s="36">
        <v>0.5</v>
      </c>
      <c r="J13" s="36">
        <v>0.5</v>
      </c>
      <c r="K13" s="36">
        <v>3</v>
      </c>
      <c r="L13" s="36">
        <v>2</v>
      </c>
      <c r="M13" s="34">
        <v>0</v>
      </c>
      <c r="N13" s="36">
        <v>2</v>
      </c>
      <c r="O13" s="34">
        <v>0</v>
      </c>
      <c r="P13" s="35" t="s">
        <v>142</v>
      </c>
      <c r="Q13" s="39">
        <v>0.6</v>
      </c>
      <c r="R13" s="36">
        <f t="shared" si="2"/>
        <v>35884</v>
      </c>
      <c r="S13" s="36">
        <v>0</v>
      </c>
      <c r="T13" s="36">
        <v>0</v>
      </c>
    </row>
    <row r="14" spans="2:20" ht="19" x14ac:dyDescent="0.25">
      <c r="B14" s="29" t="s">
        <v>75</v>
      </c>
      <c r="C14" s="31" t="s">
        <v>140</v>
      </c>
      <c r="D14" s="36">
        <f t="shared" si="1"/>
        <v>29.92</v>
      </c>
      <c r="E14" s="36">
        <v>74.8</v>
      </c>
      <c r="F14" s="36">
        <v>0.5</v>
      </c>
      <c r="G14" s="36">
        <v>0.5</v>
      </c>
      <c r="H14" s="43" t="b">
        <v>1</v>
      </c>
      <c r="I14" s="36">
        <v>0.5</v>
      </c>
      <c r="J14" s="36">
        <v>0.5</v>
      </c>
      <c r="K14" s="36">
        <v>3</v>
      </c>
      <c r="L14" s="36">
        <v>2</v>
      </c>
      <c r="M14" s="34">
        <v>0</v>
      </c>
      <c r="N14" s="36">
        <v>2</v>
      </c>
      <c r="O14" s="34">
        <v>0</v>
      </c>
      <c r="P14" s="35" t="s">
        <v>142</v>
      </c>
      <c r="Q14" s="39">
        <v>0.60000000000000009</v>
      </c>
      <c r="R14" s="36">
        <f t="shared" si="2"/>
        <v>2992</v>
      </c>
      <c r="S14" s="36">
        <v>0</v>
      </c>
      <c r="T14" s="36">
        <v>0</v>
      </c>
    </row>
    <row r="15" spans="2:20" ht="19" x14ac:dyDescent="0.25">
      <c r="B15" s="29" t="s">
        <v>76</v>
      </c>
      <c r="C15" s="31" t="s">
        <v>140</v>
      </c>
      <c r="D15" s="36">
        <f t="shared" si="1"/>
        <v>548.80000000000007</v>
      </c>
      <c r="E15" s="36">
        <v>1372</v>
      </c>
      <c r="F15" s="36">
        <v>0.5</v>
      </c>
      <c r="G15" s="36">
        <v>0.5</v>
      </c>
      <c r="H15" s="43" t="b">
        <v>1</v>
      </c>
      <c r="I15" s="36">
        <v>0.5</v>
      </c>
      <c r="J15" s="36">
        <v>0.5</v>
      </c>
      <c r="K15" s="36">
        <v>3</v>
      </c>
      <c r="L15" s="36">
        <v>2</v>
      </c>
      <c r="M15" s="34">
        <v>0</v>
      </c>
      <c r="N15" s="36">
        <v>2</v>
      </c>
      <c r="O15" s="34">
        <v>0</v>
      </c>
      <c r="P15" s="35" t="s">
        <v>142</v>
      </c>
      <c r="Q15" s="39">
        <v>0.6</v>
      </c>
      <c r="R15" s="36">
        <f t="shared" si="2"/>
        <v>54880</v>
      </c>
      <c r="S15" s="36">
        <v>0</v>
      </c>
      <c r="T15" s="36">
        <v>0</v>
      </c>
    </row>
    <row r="16" spans="2:20" ht="19" x14ac:dyDescent="0.25">
      <c r="B16" s="29" t="s">
        <v>77</v>
      </c>
      <c r="C16" s="31" t="s">
        <v>140</v>
      </c>
      <c r="D16" s="36">
        <f t="shared" si="1"/>
        <v>342.40000000000003</v>
      </c>
      <c r="E16" s="36">
        <v>856</v>
      </c>
      <c r="F16" s="36">
        <v>0.5</v>
      </c>
      <c r="G16" s="36">
        <v>0.5</v>
      </c>
      <c r="H16" s="43" t="b">
        <v>1</v>
      </c>
      <c r="I16" s="36">
        <v>0.5</v>
      </c>
      <c r="J16" s="36">
        <v>0.5</v>
      </c>
      <c r="K16" s="36">
        <v>3</v>
      </c>
      <c r="L16" s="36">
        <v>2</v>
      </c>
      <c r="M16" s="34">
        <v>0</v>
      </c>
      <c r="N16" s="36">
        <v>2</v>
      </c>
      <c r="O16" s="34">
        <v>0</v>
      </c>
      <c r="P16" s="35" t="s">
        <v>142</v>
      </c>
      <c r="Q16" s="39">
        <v>0.6</v>
      </c>
      <c r="R16" s="36">
        <f>E16*40</f>
        <v>34240</v>
      </c>
      <c r="S16" s="36">
        <v>0</v>
      </c>
      <c r="T16" s="36">
        <v>0</v>
      </c>
    </row>
    <row r="17" spans="2:20" ht="19" x14ac:dyDescent="0.25">
      <c r="B17" s="29" t="s">
        <v>78</v>
      </c>
      <c r="C17" s="31" t="s">
        <v>140</v>
      </c>
      <c r="D17" s="36">
        <f t="shared" si="1"/>
        <v>9.2000000000000011</v>
      </c>
      <c r="E17" s="36">
        <v>23</v>
      </c>
      <c r="F17" s="36">
        <v>0.5</v>
      </c>
      <c r="G17" s="36">
        <v>0.5</v>
      </c>
      <c r="H17" s="43" t="b">
        <v>1</v>
      </c>
      <c r="I17" s="36">
        <v>0.5</v>
      </c>
      <c r="J17" s="36">
        <v>0.5</v>
      </c>
      <c r="K17" s="36">
        <v>3</v>
      </c>
      <c r="L17" s="36">
        <v>2</v>
      </c>
      <c r="M17" s="34">
        <v>0</v>
      </c>
      <c r="N17" s="36">
        <v>2</v>
      </c>
      <c r="O17" s="34">
        <v>0</v>
      </c>
      <c r="P17" s="35" t="s">
        <v>142</v>
      </c>
      <c r="Q17" s="39">
        <v>0.6</v>
      </c>
      <c r="R17" s="36">
        <f t="shared" si="2"/>
        <v>920</v>
      </c>
      <c r="S17" s="36">
        <v>0</v>
      </c>
      <c r="T17" s="36">
        <v>0</v>
      </c>
    </row>
    <row r="18" spans="2:20" ht="19" x14ac:dyDescent="0.25">
      <c r="B18" s="29" t="s">
        <v>79</v>
      </c>
      <c r="C18" s="31" t="s">
        <v>140</v>
      </c>
      <c r="D18" s="36">
        <f t="shared" si="1"/>
        <v>1387.08</v>
      </c>
      <c r="E18" s="36">
        <v>3467.7</v>
      </c>
      <c r="F18" s="36">
        <v>0.5</v>
      </c>
      <c r="G18" s="36">
        <v>0.5</v>
      </c>
      <c r="H18" s="43" t="b">
        <v>1</v>
      </c>
      <c r="I18" s="36">
        <v>0.5</v>
      </c>
      <c r="J18" s="36">
        <v>0.5</v>
      </c>
      <c r="K18" s="36">
        <v>3</v>
      </c>
      <c r="L18" s="36">
        <v>2</v>
      </c>
      <c r="M18" s="34">
        <v>0</v>
      </c>
      <c r="N18" s="36">
        <v>2</v>
      </c>
      <c r="O18" s="34">
        <v>0</v>
      </c>
      <c r="P18" s="35" t="s">
        <v>142</v>
      </c>
      <c r="Q18" s="39">
        <v>0.6</v>
      </c>
      <c r="R18" s="36">
        <f t="shared" si="2"/>
        <v>138708</v>
      </c>
      <c r="S18" s="36">
        <v>0</v>
      </c>
      <c r="T18" s="36">
        <v>0</v>
      </c>
    </row>
    <row r="19" spans="2:20" ht="19" x14ac:dyDescent="0.25">
      <c r="B19" s="29" t="s">
        <v>80</v>
      </c>
      <c r="C19" s="31" t="s">
        <v>140</v>
      </c>
      <c r="D19" s="36">
        <f t="shared" si="1"/>
        <v>10</v>
      </c>
      <c r="E19" s="36">
        <v>25</v>
      </c>
      <c r="F19" s="36">
        <v>0.5</v>
      </c>
      <c r="G19" s="36">
        <v>0.5</v>
      </c>
      <c r="H19" s="43" t="b">
        <v>1</v>
      </c>
      <c r="I19" s="36">
        <v>0.5</v>
      </c>
      <c r="J19" s="36">
        <v>0.5</v>
      </c>
      <c r="K19" s="36">
        <v>3</v>
      </c>
      <c r="L19" s="36">
        <v>2</v>
      </c>
      <c r="M19" s="34">
        <v>0</v>
      </c>
      <c r="N19" s="36">
        <v>2</v>
      </c>
      <c r="O19" s="34">
        <v>0</v>
      </c>
      <c r="P19" s="35" t="s">
        <v>142</v>
      </c>
      <c r="Q19" s="39">
        <v>0.6</v>
      </c>
      <c r="R19" s="36">
        <f t="shared" si="2"/>
        <v>1000</v>
      </c>
      <c r="S19" s="36">
        <v>0</v>
      </c>
      <c r="T19" s="36">
        <v>0</v>
      </c>
    </row>
    <row r="20" spans="2:20" ht="19" x14ac:dyDescent="0.25">
      <c r="B20" s="29" t="s">
        <v>81</v>
      </c>
      <c r="C20" s="31" t="s">
        <v>140</v>
      </c>
      <c r="D20" s="36">
        <f t="shared" si="1"/>
        <v>1703.1599999999999</v>
      </c>
      <c r="E20" s="36">
        <v>4257.8999999999996</v>
      </c>
      <c r="F20" s="36">
        <v>0.5</v>
      </c>
      <c r="G20" s="36">
        <v>0.5</v>
      </c>
      <c r="H20" s="43" t="b">
        <v>1</v>
      </c>
      <c r="I20" s="36">
        <v>0.5</v>
      </c>
      <c r="J20" s="36">
        <v>0.5</v>
      </c>
      <c r="K20" s="36">
        <v>3</v>
      </c>
      <c r="L20" s="36">
        <v>2</v>
      </c>
      <c r="M20" s="34">
        <v>0</v>
      </c>
      <c r="N20" s="36">
        <v>2</v>
      </c>
      <c r="O20" s="34">
        <v>0</v>
      </c>
      <c r="P20" s="35" t="s">
        <v>142</v>
      </c>
      <c r="Q20" s="39">
        <v>0.59017014020996272</v>
      </c>
      <c r="R20" s="36">
        <f t="shared" si="2"/>
        <v>170316</v>
      </c>
      <c r="S20" s="36">
        <v>0</v>
      </c>
      <c r="T20" s="36">
        <v>0</v>
      </c>
    </row>
    <row r="21" spans="2:20" ht="19" x14ac:dyDescent="0.25">
      <c r="B21" s="29" t="s">
        <v>85</v>
      </c>
      <c r="C21" s="31" t="s">
        <v>140</v>
      </c>
      <c r="D21" s="36">
        <f t="shared" si="1"/>
        <v>10</v>
      </c>
      <c r="E21" s="36">
        <v>25</v>
      </c>
      <c r="F21" s="36">
        <v>0.5</v>
      </c>
      <c r="G21" s="36">
        <v>0.5</v>
      </c>
      <c r="H21" s="43" t="b">
        <v>1</v>
      </c>
      <c r="I21" s="36">
        <v>0.5</v>
      </c>
      <c r="J21" s="36">
        <v>0.5</v>
      </c>
      <c r="K21" s="36">
        <v>3</v>
      </c>
      <c r="L21" s="36">
        <v>2</v>
      </c>
      <c r="M21" s="34">
        <v>0</v>
      </c>
      <c r="N21" s="36">
        <v>2</v>
      </c>
      <c r="O21" s="34">
        <v>0</v>
      </c>
      <c r="P21" s="35" t="s">
        <v>142</v>
      </c>
      <c r="Q21" s="39">
        <v>0.6</v>
      </c>
      <c r="R21" s="36">
        <f t="shared" si="2"/>
        <v>1000</v>
      </c>
      <c r="S21" s="36">
        <v>0</v>
      </c>
      <c r="T21" s="36">
        <v>0</v>
      </c>
    </row>
    <row r="22" spans="2:20" ht="19" x14ac:dyDescent="0.25">
      <c r="B22" s="29" t="s">
        <v>86</v>
      </c>
      <c r="C22" s="31" t="s">
        <v>140</v>
      </c>
      <c r="D22" s="36">
        <f t="shared" si="1"/>
        <v>341.04</v>
      </c>
      <c r="E22" s="36">
        <v>852.6</v>
      </c>
      <c r="F22" s="36">
        <v>0.5</v>
      </c>
      <c r="G22" s="36">
        <v>0.5</v>
      </c>
      <c r="H22" s="43" t="b">
        <v>1</v>
      </c>
      <c r="I22" s="36">
        <v>0.5</v>
      </c>
      <c r="J22" s="36">
        <v>0.5</v>
      </c>
      <c r="K22" s="36">
        <v>3</v>
      </c>
      <c r="L22" s="36">
        <v>2</v>
      </c>
      <c r="M22" s="34">
        <v>0</v>
      </c>
      <c r="N22" s="36">
        <v>2</v>
      </c>
      <c r="O22" s="34">
        <v>0</v>
      </c>
      <c r="P22" s="35" t="s">
        <v>142</v>
      </c>
      <c r="Q22" s="39">
        <v>0.6</v>
      </c>
      <c r="R22" s="36">
        <f t="shared" si="2"/>
        <v>34104</v>
      </c>
      <c r="S22" s="36">
        <v>0</v>
      </c>
      <c r="T22" s="36">
        <v>0</v>
      </c>
    </row>
    <row r="23" spans="2:20" ht="19" x14ac:dyDescent="0.25">
      <c r="B23" s="29" t="s">
        <v>88</v>
      </c>
      <c r="C23" s="31" t="s">
        <v>140</v>
      </c>
      <c r="D23" s="36">
        <f t="shared" si="1"/>
        <v>20</v>
      </c>
      <c r="E23" s="36">
        <v>50</v>
      </c>
      <c r="F23" s="36">
        <v>0.5</v>
      </c>
      <c r="G23" s="36">
        <v>0.5</v>
      </c>
      <c r="H23" s="43" t="b">
        <v>1</v>
      </c>
      <c r="I23" s="36">
        <v>0.5</v>
      </c>
      <c r="J23" s="36">
        <v>0.5</v>
      </c>
      <c r="K23" s="36">
        <v>3</v>
      </c>
      <c r="L23" s="36">
        <v>2</v>
      </c>
      <c r="M23" s="34">
        <v>0</v>
      </c>
      <c r="N23" s="36">
        <v>2</v>
      </c>
      <c r="O23" s="34">
        <v>0</v>
      </c>
      <c r="P23" s="35" t="s">
        <v>142</v>
      </c>
      <c r="Q23" s="39">
        <v>0.6</v>
      </c>
      <c r="R23" s="36">
        <f t="shared" si="2"/>
        <v>2000</v>
      </c>
      <c r="S23" s="36">
        <v>0</v>
      </c>
      <c r="T23" s="36">
        <v>0</v>
      </c>
    </row>
    <row r="24" spans="2:20" ht="19" x14ac:dyDescent="0.25">
      <c r="B24" s="29" t="s">
        <v>89</v>
      </c>
      <c r="C24" s="31" t="s">
        <v>140</v>
      </c>
      <c r="D24" s="36">
        <f t="shared" si="1"/>
        <v>180</v>
      </c>
      <c r="E24" s="36">
        <v>450</v>
      </c>
      <c r="F24" s="36">
        <v>0.5</v>
      </c>
      <c r="G24" s="36">
        <v>0.5</v>
      </c>
      <c r="H24" s="43" t="b">
        <v>1</v>
      </c>
      <c r="I24" s="36">
        <v>0.5</v>
      </c>
      <c r="J24" s="36">
        <v>0.5</v>
      </c>
      <c r="K24" s="36">
        <v>3</v>
      </c>
      <c r="L24" s="36">
        <v>2</v>
      </c>
      <c r="M24" s="34">
        <v>0</v>
      </c>
      <c r="N24" s="36">
        <v>2</v>
      </c>
      <c r="O24" s="34">
        <v>0</v>
      </c>
      <c r="P24" s="35" t="s">
        <v>142</v>
      </c>
      <c r="Q24" s="39">
        <v>0.6</v>
      </c>
      <c r="R24" s="36">
        <f t="shared" si="2"/>
        <v>18000</v>
      </c>
      <c r="S24" s="36">
        <v>0</v>
      </c>
      <c r="T24" s="36">
        <v>0</v>
      </c>
    </row>
    <row r="25" spans="2:20" ht="19" x14ac:dyDescent="0.25">
      <c r="B25" s="29" t="s">
        <v>90</v>
      </c>
      <c r="C25" s="31" t="s">
        <v>140</v>
      </c>
      <c r="D25" s="36">
        <f t="shared" si="1"/>
        <v>198.4</v>
      </c>
      <c r="E25" s="36">
        <v>496</v>
      </c>
      <c r="F25" s="36">
        <v>0.5</v>
      </c>
      <c r="G25" s="36">
        <v>0.5</v>
      </c>
      <c r="H25" s="43" t="b">
        <v>1</v>
      </c>
      <c r="I25" s="36">
        <v>0.5</v>
      </c>
      <c r="J25" s="36">
        <v>0.5</v>
      </c>
      <c r="K25" s="36">
        <v>3</v>
      </c>
      <c r="L25" s="36">
        <v>2</v>
      </c>
      <c r="M25" s="34">
        <v>0</v>
      </c>
      <c r="N25" s="36">
        <v>2</v>
      </c>
      <c r="O25" s="34">
        <v>0</v>
      </c>
      <c r="P25" s="35" t="s">
        <v>142</v>
      </c>
      <c r="Q25" s="39">
        <v>0.6</v>
      </c>
      <c r="R25" s="36">
        <f t="shared" si="2"/>
        <v>19840</v>
      </c>
      <c r="S25" s="36">
        <v>0</v>
      </c>
      <c r="T25" s="36">
        <v>0</v>
      </c>
    </row>
    <row r="26" spans="2:20" ht="19" x14ac:dyDescent="0.25">
      <c r="B26" s="29" t="s">
        <v>96</v>
      </c>
      <c r="C26" s="31" t="s">
        <v>140</v>
      </c>
      <c r="D26" s="36">
        <f t="shared" si="1"/>
        <v>786.80000000000007</v>
      </c>
      <c r="E26" s="36">
        <v>1967</v>
      </c>
      <c r="F26" s="36">
        <v>0.5</v>
      </c>
      <c r="G26" s="36">
        <v>0.5</v>
      </c>
      <c r="H26" s="43" t="b">
        <v>1</v>
      </c>
      <c r="I26" s="36">
        <v>0.5</v>
      </c>
      <c r="J26" s="36">
        <v>0.5</v>
      </c>
      <c r="K26" s="36">
        <v>3</v>
      </c>
      <c r="L26" s="36">
        <v>2</v>
      </c>
      <c r="M26" s="34">
        <v>0</v>
      </c>
      <c r="N26" s="36">
        <v>2</v>
      </c>
      <c r="O26" s="34">
        <v>0</v>
      </c>
      <c r="P26" s="35" t="s">
        <v>142</v>
      </c>
      <c r="Q26" s="39">
        <v>0.6</v>
      </c>
      <c r="R26" s="36">
        <f t="shared" si="2"/>
        <v>78680</v>
      </c>
      <c r="S26" s="36">
        <v>0</v>
      </c>
      <c r="T26" s="36">
        <v>0</v>
      </c>
    </row>
    <row r="27" spans="2:20" ht="19" x14ac:dyDescent="0.25">
      <c r="B27" s="29" t="s">
        <v>97</v>
      </c>
      <c r="C27" s="31" t="s">
        <v>140</v>
      </c>
      <c r="D27" s="36">
        <f t="shared" si="1"/>
        <v>28</v>
      </c>
      <c r="E27" s="36">
        <v>70</v>
      </c>
      <c r="F27" s="36">
        <v>0.5</v>
      </c>
      <c r="G27" s="36">
        <v>0.5</v>
      </c>
      <c r="H27" s="43" t="b">
        <v>1</v>
      </c>
      <c r="I27" s="36">
        <v>0.5</v>
      </c>
      <c r="J27" s="36">
        <v>0.5</v>
      </c>
      <c r="K27" s="36">
        <v>3</v>
      </c>
      <c r="L27" s="36">
        <v>2</v>
      </c>
      <c r="M27" s="34">
        <v>0</v>
      </c>
      <c r="N27" s="36">
        <v>2</v>
      </c>
      <c r="O27" s="34">
        <v>0</v>
      </c>
      <c r="P27" s="35" t="s">
        <v>142</v>
      </c>
      <c r="Q27" s="39">
        <v>0.6</v>
      </c>
      <c r="R27" s="36">
        <f t="shared" si="2"/>
        <v>2800</v>
      </c>
      <c r="S27" s="36">
        <v>0</v>
      </c>
      <c r="T27" s="36">
        <v>0</v>
      </c>
    </row>
    <row r="28" spans="2:20" ht="19" x14ac:dyDescent="0.25">
      <c r="B28" s="29" t="s">
        <v>98</v>
      </c>
      <c r="C28" s="31" t="s">
        <v>140</v>
      </c>
      <c r="D28" s="36">
        <f t="shared" si="1"/>
        <v>506.48</v>
      </c>
      <c r="E28" s="36">
        <v>1266.2</v>
      </c>
      <c r="F28" s="36">
        <v>0.5</v>
      </c>
      <c r="G28" s="36">
        <v>0.5</v>
      </c>
      <c r="H28" s="43" t="b">
        <v>1</v>
      </c>
      <c r="I28" s="36">
        <v>0.5</v>
      </c>
      <c r="J28" s="36">
        <v>0.5</v>
      </c>
      <c r="K28" s="36">
        <v>3</v>
      </c>
      <c r="L28" s="36">
        <v>2</v>
      </c>
      <c r="M28" s="34">
        <v>0</v>
      </c>
      <c r="N28" s="36">
        <v>2</v>
      </c>
      <c r="O28" s="34">
        <v>0</v>
      </c>
      <c r="P28" s="35" t="s">
        <v>142</v>
      </c>
      <c r="Q28" s="39">
        <v>0.30130258346394029</v>
      </c>
      <c r="R28" s="36">
        <f t="shared" si="2"/>
        <v>50648</v>
      </c>
      <c r="S28" s="36">
        <v>0</v>
      </c>
      <c r="T28" s="36">
        <v>0</v>
      </c>
    </row>
    <row r="29" spans="2:20" ht="19" x14ac:dyDescent="0.25">
      <c r="B29" s="29" t="s">
        <v>100</v>
      </c>
      <c r="C29" s="31" t="s">
        <v>140</v>
      </c>
      <c r="D29" s="36">
        <f t="shared" si="1"/>
        <v>12.8</v>
      </c>
      <c r="E29" s="36">
        <v>32</v>
      </c>
      <c r="F29" s="36">
        <v>0.5</v>
      </c>
      <c r="G29" s="36">
        <v>0.5</v>
      </c>
      <c r="H29" s="43" t="b">
        <v>1</v>
      </c>
      <c r="I29" s="36">
        <v>0.5</v>
      </c>
      <c r="J29" s="36">
        <v>0.5</v>
      </c>
      <c r="K29" s="36">
        <v>3</v>
      </c>
      <c r="L29" s="36">
        <v>2</v>
      </c>
      <c r="M29" s="34">
        <v>0</v>
      </c>
      <c r="N29" s="36">
        <v>2</v>
      </c>
      <c r="O29" s="34">
        <v>0</v>
      </c>
      <c r="P29" s="35" t="s">
        <v>142</v>
      </c>
      <c r="Q29" s="39">
        <v>0.6</v>
      </c>
      <c r="R29" s="36">
        <f t="shared" si="2"/>
        <v>1280</v>
      </c>
      <c r="S29" s="36">
        <v>0</v>
      </c>
      <c r="T29" s="36">
        <v>0</v>
      </c>
    </row>
    <row r="30" spans="2:20" ht="19" x14ac:dyDescent="0.25">
      <c r="B30" s="29" t="s">
        <v>101</v>
      </c>
      <c r="C30" s="31" t="s">
        <v>140</v>
      </c>
      <c r="D30" s="36">
        <f t="shared" si="1"/>
        <v>166.4</v>
      </c>
      <c r="E30" s="36">
        <v>416</v>
      </c>
      <c r="F30" s="36">
        <v>0.5</v>
      </c>
      <c r="G30" s="36">
        <v>0.5</v>
      </c>
      <c r="H30" s="43" t="b">
        <v>1</v>
      </c>
      <c r="I30" s="36">
        <v>0.5</v>
      </c>
      <c r="J30" s="36">
        <v>0.5</v>
      </c>
      <c r="K30" s="36">
        <v>3</v>
      </c>
      <c r="L30" s="36">
        <v>2</v>
      </c>
      <c r="M30" s="34">
        <v>0</v>
      </c>
      <c r="N30" s="36">
        <v>2</v>
      </c>
      <c r="O30" s="34">
        <v>0</v>
      </c>
      <c r="P30" s="35" t="s">
        <v>142</v>
      </c>
      <c r="Q30" s="39">
        <v>0.3899999999999999</v>
      </c>
      <c r="R30" s="36">
        <f t="shared" si="2"/>
        <v>16640</v>
      </c>
      <c r="S30" s="36">
        <v>0</v>
      </c>
      <c r="T30" s="36">
        <v>0</v>
      </c>
    </row>
    <row r="31" spans="2:20" ht="19" x14ac:dyDescent="0.25">
      <c r="B31" s="29" t="s">
        <v>102</v>
      </c>
      <c r="C31" s="31" t="s">
        <v>140</v>
      </c>
      <c r="D31" s="36">
        <f t="shared" si="1"/>
        <v>838.80000000000007</v>
      </c>
      <c r="E31" s="36">
        <v>2097</v>
      </c>
      <c r="F31" s="36">
        <v>0.5</v>
      </c>
      <c r="G31" s="36">
        <v>0.5</v>
      </c>
      <c r="H31" s="43" t="b">
        <v>1</v>
      </c>
      <c r="I31" s="36">
        <v>0.5</v>
      </c>
      <c r="J31" s="36">
        <v>0.5</v>
      </c>
      <c r="K31" s="36">
        <v>3</v>
      </c>
      <c r="L31" s="36">
        <v>2</v>
      </c>
      <c r="M31" s="34">
        <v>0</v>
      </c>
      <c r="N31" s="36">
        <v>2</v>
      </c>
      <c r="O31" s="34">
        <v>0</v>
      </c>
      <c r="P31" s="35" t="s">
        <v>142</v>
      </c>
      <c r="Q31" s="39">
        <v>0.6</v>
      </c>
      <c r="R31" s="36">
        <f t="shared" si="2"/>
        <v>83880</v>
      </c>
      <c r="S31" s="36">
        <v>0</v>
      </c>
      <c r="T31" s="36">
        <v>0</v>
      </c>
    </row>
    <row r="32" spans="2:20" ht="19" x14ac:dyDescent="0.25">
      <c r="B32" s="29" t="s">
        <v>104</v>
      </c>
      <c r="C32" s="31" t="s">
        <v>140</v>
      </c>
      <c r="D32" s="36">
        <f t="shared" si="1"/>
        <v>667.52</v>
      </c>
      <c r="E32" s="36">
        <v>1668.8</v>
      </c>
      <c r="F32" s="36">
        <v>0.5</v>
      </c>
      <c r="G32" s="36">
        <v>0.5</v>
      </c>
      <c r="H32" s="43" t="b">
        <v>1</v>
      </c>
      <c r="I32" s="36">
        <v>0.5</v>
      </c>
      <c r="J32" s="36">
        <v>0.5</v>
      </c>
      <c r="K32" s="36">
        <v>3</v>
      </c>
      <c r="L32" s="36">
        <v>2</v>
      </c>
      <c r="M32" s="34">
        <v>0</v>
      </c>
      <c r="N32" s="36">
        <v>2</v>
      </c>
      <c r="O32" s="34">
        <v>0</v>
      </c>
      <c r="P32" s="35" t="s">
        <v>142</v>
      </c>
      <c r="Q32" s="39">
        <v>0.60000000000000009</v>
      </c>
      <c r="R32" s="36">
        <f t="shared" si="2"/>
        <v>66752</v>
      </c>
      <c r="S32" s="36">
        <v>0</v>
      </c>
      <c r="T32" s="36">
        <v>0</v>
      </c>
    </row>
    <row r="33" spans="2:20" ht="19" x14ac:dyDescent="0.25">
      <c r="B33" s="29" t="s">
        <v>105</v>
      </c>
      <c r="C33" s="31" t="s">
        <v>140</v>
      </c>
      <c r="D33" s="36">
        <f t="shared" si="1"/>
        <v>14</v>
      </c>
      <c r="E33" s="36">
        <v>35</v>
      </c>
      <c r="F33" s="36">
        <v>0.5</v>
      </c>
      <c r="G33" s="36">
        <v>0.5</v>
      </c>
      <c r="H33" s="43" t="b">
        <v>1</v>
      </c>
      <c r="I33" s="36">
        <v>0.5</v>
      </c>
      <c r="J33" s="36">
        <v>0.5</v>
      </c>
      <c r="K33" s="36">
        <v>3</v>
      </c>
      <c r="L33" s="36">
        <v>2</v>
      </c>
      <c r="M33" s="34">
        <v>0</v>
      </c>
      <c r="N33" s="36">
        <v>2</v>
      </c>
      <c r="O33" s="34">
        <v>0</v>
      </c>
      <c r="P33" s="35" t="s">
        <v>142</v>
      </c>
      <c r="Q33" s="39">
        <v>0.6</v>
      </c>
      <c r="R33" s="36">
        <f t="shared" si="2"/>
        <v>1400</v>
      </c>
      <c r="S33" s="36">
        <v>0</v>
      </c>
      <c r="T33" s="36">
        <v>0</v>
      </c>
    </row>
    <row r="34" spans="2:20" ht="19" x14ac:dyDescent="0.25">
      <c r="B34" s="29" t="s">
        <v>106</v>
      </c>
      <c r="C34" s="31" t="s">
        <v>140</v>
      </c>
      <c r="D34" s="36">
        <f t="shared" si="1"/>
        <v>470.40000000000003</v>
      </c>
      <c r="E34" s="36">
        <v>1176</v>
      </c>
      <c r="F34" s="36">
        <v>0.5</v>
      </c>
      <c r="G34" s="36">
        <v>0.5</v>
      </c>
      <c r="H34" s="43" t="b">
        <v>1</v>
      </c>
      <c r="I34" s="36">
        <v>0.5</v>
      </c>
      <c r="J34" s="36">
        <v>0.5</v>
      </c>
      <c r="K34" s="36">
        <v>3</v>
      </c>
      <c r="L34" s="36">
        <v>2</v>
      </c>
      <c r="M34" s="34">
        <v>0</v>
      </c>
      <c r="N34" s="36">
        <v>2</v>
      </c>
      <c r="O34" s="34">
        <v>0</v>
      </c>
      <c r="P34" s="35" t="s">
        <v>142</v>
      </c>
      <c r="Q34" s="39">
        <v>0.57499999999999996</v>
      </c>
      <c r="R34" s="36">
        <f t="shared" si="2"/>
        <v>47040</v>
      </c>
      <c r="S34" s="36">
        <v>0</v>
      </c>
      <c r="T34" s="36">
        <v>0</v>
      </c>
    </row>
    <row r="35" spans="2:20" ht="19" x14ac:dyDescent="0.25">
      <c r="B35" s="29" t="s">
        <v>107</v>
      </c>
      <c r="C35" s="31" t="s">
        <v>140</v>
      </c>
      <c r="D35" s="36">
        <f t="shared" si="1"/>
        <v>424.40000000000003</v>
      </c>
      <c r="E35" s="36">
        <v>1061</v>
      </c>
      <c r="F35" s="36">
        <v>0.5</v>
      </c>
      <c r="G35" s="36">
        <v>0.5</v>
      </c>
      <c r="H35" s="43" t="b">
        <v>1</v>
      </c>
      <c r="I35" s="36">
        <v>0.5</v>
      </c>
      <c r="J35" s="36">
        <v>0.5</v>
      </c>
      <c r="K35" s="36">
        <v>3</v>
      </c>
      <c r="L35" s="36">
        <v>2</v>
      </c>
      <c r="M35" s="34">
        <v>0</v>
      </c>
      <c r="N35" s="36">
        <v>2</v>
      </c>
      <c r="O35" s="34">
        <v>0</v>
      </c>
      <c r="P35" s="35" t="s">
        <v>142</v>
      </c>
      <c r="Q35" s="39">
        <v>0.59999999999999987</v>
      </c>
      <c r="R35" s="36">
        <f t="shared" si="2"/>
        <v>42440</v>
      </c>
      <c r="S35" s="36">
        <v>0</v>
      </c>
      <c r="T35" s="36">
        <v>0</v>
      </c>
    </row>
    <row r="36" spans="2:20" ht="19" x14ac:dyDescent="0.25">
      <c r="B36" s="29" t="s">
        <v>109</v>
      </c>
      <c r="C36" s="31" t="s">
        <v>140</v>
      </c>
      <c r="D36" s="36">
        <f t="shared" si="1"/>
        <v>33.6</v>
      </c>
      <c r="E36" s="36">
        <v>84</v>
      </c>
      <c r="F36" s="36">
        <v>0.5</v>
      </c>
      <c r="G36" s="36">
        <v>0.5</v>
      </c>
      <c r="H36" s="43" t="b">
        <v>1</v>
      </c>
      <c r="I36" s="36">
        <v>0.5</v>
      </c>
      <c r="J36" s="36">
        <v>0.5</v>
      </c>
      <c r="K36" s="36">
        <v>3</v>
      </c>
      <c r="L36" s="36">
        <v>2</v>
      </c>
      <c r="M36" s="34">
        <v>0</v>
      </c>
      <c r="N36" s="36">
        <v>2</v>
      </c>
      <c r="O36" s="34">
        <v>0</v>
      </c>
      <c r="P36" s="35" t="s">
        <v>142</v>
      </c>
      <c r="Q36" s="39">
        <v>0.59999999999999987</v>
      </c>
      <c r="R36" s="36">
        <f t="shared" si="2"/>
        <v>3360</v>
      </c>
      <c r="S36" s="36">
        <v>0</v>
      </c>
      <c r="T36" s="36">
        <v>0</v>
      </c>
    </row>
    <row r="37" spans="2:20" ht="19" x14ac:dyDescent="0.25">
      <c r="B37" s="29" t="s">
        <v>110</v>
      </c>
      <c r="C37" s="31" t="s">
        <v>140</v>
      </c>
      <c r="D37" s="36">
        <f t="shared" si="1"/>
        <v>374</v>
      </c>
      <c r="E37" s="36">
        <v>935</v>
      </c>
      <c r="F37" s="36">
        <v>0.5</v>
      </c>
      <c r="G37" s="36">
        <v>0.5</v>
      </c>
      <c r="H37" s="43" t="b">
        <v>1</v>
      </c>
      <c r="I37" s="36">
        <v>0.5</v>
      </c>
      <c r="J37" s="36">
        <v>0.5</v>
      </c>
      <c r="K37" s="36">
        <v>3</v>
      </c>
      <c r="L37" s="36">
        <v>2</v>
      </c>
      <c r="M37" s="34">
        <v>0</v>
      </c>
      <c r="N37" s="36">
        <v>2</v>
      </c>
      <c r="O37" s="34">
        <v>0</v>
      </c>
      <c r="P37" s="35" t="s">
        <v>142</v>
      </c>
      <c r="Q37" s="39">
        <v>0.58211764705882352</v>
      </c>
      <c r="R37" s="36">
        <f t="shared" si="2"/>
        <v>37400</v>
      </c>
      <c r="S37" s="36">
        <v>0</v>
      </c>
      <c r="T37" s="36">
        <v>0</v>
      </c>
    </row>
    <row r="38" spans="2:20" ht="19" x14ac:dyDescent="0.25">
      <c r="B38" s="29" t="s">
        <v>112</v>
      </c>
      <c r="C38" s="31" t="s">
        <v>140</v>
      </c>
      <c r="D38" s="36">
        <f t="shared" si="1"/>
        <v>372</v>
      </c>
      <c r="E38" s="36">
        <v>930</v>
      </c>
      <c r="F38" s="36">
        <v>0.5</v>
      </c>
      <c r="G38" s="36">
        <v>0.5</v>
      </c>
      <c r="H38" s="43" t="b">
        <v>1</v>
      </c>
      <c r="I38" s="36">
        <v>0.5</v>
      </c>
      <c r="J38" s="36">
        <v>0.5</v>
      </c>
      <c r="K38" s="36">
        <v>3</v>
      </c>
      <c r="L38" s="36">
        <v>2</v>
      </c>
      <c r="M38" s="34">
        <v>0</v>
      </c>
      <c r="N38" s="36">
        <v>2</v>
      </c>
      <c r="O38" s="34">
        <v>0</v>
      </c>
      <c r="P38" s="35" t="s">
        <v>142</v>
      </c>
      <c r="Q38" s="39">
        <v>0.6</v>
      </c>
      <c r="R38" s="36">
        <f t="shared" si="2"/>
        <v>37200</v>
      </c>
      <c r="S38" s="36">
        <v>0</v>
      </c>
      <c r="T38" s="36">
        <v>0</v>
      </c>
    </row>
    <row r="39" spans="2:20" ht="19" x14ac:dyDescent="0.25">
      <c r="B39" s="26" t="s">
        <v>66</v>
      </c>
      <c r="C39" s="27" t="s">
        <v>147</v>
      </c>
      <c r="D39" s="26">
        <v>0</v>
      </c>
      <c r="E39" s="26">
        <v>5.2568000000000001</v>
      </c>
      <c r="F39" s="35" t="s">
        <v>142</v>
      </c>
      <c r="G39" s="35" t="s">
        <v>142</v>
      </c>
      <c r="H39" s="43" t="b">
        <v>0</v>
      </c>
      <c r="I39" s="35" t="s">
        <v>142</v>
      </c>
      <c r="J39" s="35" t="s">
        <v>142</v>
      </c>
      <c r="K39" s="35" t="s">
        <v>142</v>
      </c>
      <c r="L39" s="35" t="s">
        <v>142</v>
      </c>
      <c r="M39" s="35" t="s">
        <v>142</v>
      </c>
      <c r="N39" s="35" t="s">
        <v>142</v>
      </c>
      <c r="O39" s="35" t="s">
        <v>142</v>
      </c>
      <c r="P39" s="26">
        <v>0</v>
      </c>
      <c r="Q39" s="26">
        <v>0.9</v>
      </c>
      <c r="R39" s="35" t="s">
        <v>142</v>
      </c>
      <c r="S39" s="35" t="s">
        <v>142</v>
      </c>
      <c r="T39" s="35" t="s">
        <v>142</v>
      </c>
    </row>
    <row r="40" spans="2:20" ht="19" x14ac:dyDescent="0.25">
      <c r="B40" s="26" t="s">
        <v>72</v>
      </c>
      <c r="C40" s="27" t="s">
        <v>147</v>
      </c>
      <c r="D40" s="26">
        <v>0</v>
      </c>
      <c r="E40" s="26">
        <v>66.849999999999994</v>
      </c>
      <c r="F40" s="35" t="s">
        <v>142</v>
      </c>
      <c r="G40" s="35" t="s">
        <v>142</v>
      </c>
      <c r="H40" s="43" t="b">
        <v>0</v>
      </c>
      <c r="I40" s="35" t="s">
        <v>142</v>
      </c>
      <c r="J40" s="35" t="s">
        <v>142</v>
      </c>
      <c r="K40" s="35" t="s">
        <v>142</v>
      </c>
      <c r="L40" s="35" t="s">
        <v>142</v>
      </c>
      <c r="M40" s="35" t="s">
        <v>142</v>
      </c>
      <c r="N40" s="35" t="s">
        <v>142</v>
      </c>
      <c r="O40" s="35" t="s">
        <v>142</v>
      </c>
      <c r="P40" s="26">
        <v>0</v>
      </c>
      <c r="Q40" s="26">
        <v>0.9</v>
      </c>
      <c r="R40" s="35" t="s">
        <v>142</v>
      </c>
      <c r="S40" s="35" t="s">
        <v>142</v>
      </c>
      <c r="T40" s="35" t="s">
        <v>142</v>
      </c>
    </row>
    <row r="41" spans="2:20" ht="19" x14ac:dyDescent="0.25">
      <c r="B41" s="26" t="s">
        <v>76</v>
      </c>
      <c r="C41" s="27" t="s">
        <v>147</v>
      </c>
      <c r="D41" s="26">
        <v>0</v>
      </c>
      <c r="E41" s="26">
        <v>65</v>
      </c>
      <c r="F41" s="35" t="s">
        <v>142</v>
      </c>
      <c r="G41" s="35" t="s">
        <v>142</v>
      </c>
      <c r="H41" s="43" t="b">
        <v>0</v>
      </c>
      <c r="I41" s="35" t="s">
        <v>142</v>
      </c>
      <c r="J41" s="35" t="s">
        <v>142</v>
      </c>
      <c r="K41" s="35" t="s">
        <v>142</v>
      </c>
      <c r="L41" s="35" t="s">
        <v>142</v>
      </c>
      <c r="M41" s="35" t="s">
        <v>142</v>
      </c>
      <c r="N41" s="35" t="s">
        <v>142</v>
      </c>
      <c r="O41" s="35" t="s">
        <v>142</v>
      </c>
      <c r="P41" s="26">
        <v>0</v>
      </c>
      <c r="Q41" s="26">
        <v>0.9</v>
      </c>
      <c r="R41" s="35" t="s">
        <v>142</v>
      </c>
      <c r="S41" s="35" t="s">
        <v>142</v>
      </c>
      <c r="T41" s="35" t="s">
        <v>142</v>
      </c>
    </row>
    <row r="42" spans="2:20" ht="19" x14ac:dyDescent="0.25">
      <c r="B42" s="26" t="s">
        <v>78</v>
      </c>
      <c r="C42" s="27" t="s">
        <v>147</v>
      </c>
      <c r="D42" s="26">
        <v>0</v>
      </c>
      <c r="E42" s="26">
        <v>15.89</v>
      </c>
      <c r="F42" s="35" t="s">
        <v>142</v>
      </c>
      <c r="G42" s="35" t="s">
        <v>142</v>
      </c>
      <c r="H42" s="43" t="b">
        <v>0</v>
      </c>
      <c r="I42" s="35" t="s">
        <v>142</v>
      </c>
      <c r="J42" s="35" t="s">
        <v>142</v>
      </c>
      <c r="K42" s="35" t="s">
        <v>142</v>
      </c>
      <c r="L42" s="35" t="s">
        <v>142</v>
      </c>
      <c r="M42" s="35" t="s">
        <v>142</v>
      </c>
      <c r="N42" s="35" t="s">
        <v>142</v>
      </c>
      <c r="O42" s="35" t="s">
        <v>142</v>
      </c>
      <c r="P42" s="26">
        <v>0</v>
      </c>
      <c r="Q42" s="26">
        <v>0.9</v>
      </c>
      <c r="R42" s="35" t="s">
        <v>142</v>
      </c>
      <c r="S42" s="35" t="s">
        <v>142</v>
      </c>
      <c r="T42" s="35" t="s">
        <v>142</v>
      </c>
    </row>
    <row r="43" spans="2:20" ht="19" x14ac:dyDescent="0.25">
      <c r="B43" s="26" t="s">
        <v>83</v>
      </c>
      <c r="C43" s="27" t="s">
        <v>147</v>
      </c>
      <c r="D43" s="26">
        <v>0</v>
      </c>
      <c r="E43" s="26">
        <v>96.77000000000001</v>
      </c>
      <c r="F43" s="35" t="s">
        <v>142</v>
      </c>
      <c r="G43" s="35" t="s">
        <v>142</v>
      </c>
      <c r="H43" s="43" t="b">
        <v>0</v>
      </c>
      <c r="I43" s="35" t="s">
        <v>142</v>
      </c>
      <c r="J43" s="35" t="s">
        <v>142</v>
      </c>
      <c r="K43" s="35" t="s">
        <v>142</v>
      </c>
      <c r="L43" s="35" t="s">
        <v>142</v>
      </c>
      <c r="M43" s="35" t="s">
        <v>142</v>
      </c>
      <c r="N43" s="35" t="s">
        <v>142</v>
      </c>
      <c r="O43" s="35" t="s">
        <v>142</v>
      </c>
      <c r="P43" s="26">
        <v>0</v>
      </c>
      <c r="Q43" s="26">
        <v>0.9</v>
      </c>
      <c r="R43" s="35" t="s">
        <v>142</v>
      </c>
      <c r="S43" s="35" t="s">
        <v>142</v>
      </c>
      <c r="T43" s="35" t="s">
        <v>142</v>
      </c>
    </row>
    <row r="44" spans="2:20" ht="19" x14ac:dyDescent="0.25">
      <c r="B44" s="26" t="s">
        <v>85</v>
      </c>
      <c r="C44" s="27" t="s">
        <v>147</v>
      </c>
      <c r="D44" s="26">
        <v>0</v>
      </c>
      <c r="E44" s="26">
        <v>12.519</v>
      </c>
      <c r="F44" s="35" t="s">
        <v>142</v>
      </c>
      <c r="G44" s="35" t="s">
        <v>142</v>
      </c>
      <c r="H44" s="43" t="b">
        <v>0</v>
      </c>
      <c r="I44" s="35" t="s">
        <v>142</v>
      </c>
      <c r="J44" s="35" t="s">
        <v>142</v>
      </c>
      <c r="K44" s="35" t="s">
        <v>142</v>
      </c>
      <c r="L44" s="35" t="s">
        <v>142</v>
      </c>
      <c r="M44" s="35" t="s">
        <v>142</v>
      </c>
      <c r="N44" s="35" t="s">
        <v>142</v>
      </c>
      <c r="O44" s="35" t="s">
        <v>142</v>
      </c>
      <c r="P44" s="26">
        <v>0</v>
      </c>
      <c r="Q44" s="26">
        <v>0.9</v>
      </c>
      <c r="R44" s="35" t="s">
        <v>142</v>
      </c>
      <c r="S44" s="35" t="s">
        <v>142</v>
      </c>
      <c r="T44" s="35" t="s">
        <v>142</v>
      </c>
    </row>
    <row r="45" spans="2:20" ht="19" x14ac:dyDescent="0.25">
      <c r="B45" s="26" t="s">
        <v>91</v>
      </c>
      <c r="C45" s="27" t="s">
        <v>147</v>
      </c>
      <c r="D45" s="26">
        <v>0</v>
      </c>
      <c r="E45" s="26">
        <v>104.51</v>
      </c>
      <c r="F45" s="35" t="s">
        <v>142</v>
      </c>
      <c r="G45" s="35" t="s">
        <v>142</v>
      </c>
      <c r="H45" s="43" t="b">
        <v>0</v>
      </c>
      <c r="I45" s="35" t="s">
        <v>142</v>
      </c>
      <c r="J45" s="35" t="s">
        <v>142</v>
      </c>
      <c r="K45" s="35" t="s">
        <v>142</v>
      </c>
      <c r="L45" s="35" t="s">
        <v>142</v>
      </c>
      <c r="M45" s="35" t="s">
        <v>142</v>
      </c>
      <c r="N45" s="35" t="s">
        <v>142</v>
      </c>
      <c r="O45" s="35" t="s">
        <v>142</v>
      </c>
      <c r="P45" s="26">
        <v>0</v>
      </c>
      <c r="Q45" s="26">
        <v>0.9</v>
      </c>
      <c r="R45" s="35" t="s">
        <v>142</v>
      </c>
      <c r="S45" s="35" t="s">
        <v>142</v>
      </c>
      <c r="T45" s="35" t="s">
        <v>142</v>
      </c>
    </row>
    <row r="46" spans="2:20" ht="19" x14ac:dyDescent="0.25">
      <c r="B46" s="26" t="s">
        <v>95</v>
      </c>
      <c r="C46" s="27" t="s">
        <v>147</v>
      </c>
      <c r="D46" s="26">
        <v>0</v>
      </c>
      <c r="E46" s="26">
        <v>130</v>
      </c>
      <c r="F46" s="35" t="s">
        <v>142</v>
      </c>
      <c r="G46" s="35" t="s">
        <v>142</v>
      </c>
      <c r="H46" s="43" t="b">
        <v>0</v>
      </c>
      <c r="I46" s="35" t="s">
        <v>142</v>
      </c>
      <c r="J46" s="35" t="s">
        <v>142</v>
      </c>
      <c r="K46" s="35" t="s">
        <v>142</v>
      </c>
      <c r="L46" s="35" t="s">
        <v>142</v>
      </c>
      <c r="M46" s="35" t="s">
        <v>142</v>
      </c>
      <c r="N46" s="35" t="s">
        <v>142</v>
      </c>
      <c r="O46" s="35" t="s">
        <v>142</v>
      </c>
      <c r="P46" s="26">
        <v>0</v>
      </c>
      <c r="Q46" s="26">
        <v>0.9</v>
      </c>
      <c r="R46" s="35" t="s">
        <v>142</v>
      </c>
      <c r="S46" s="35" t="s">
        <v>142</v>
      </c>
      <c r="T46" s="35" t="s">
        <v>142</v>
      </c>
    </row>
    <row r="47" spans="2:20" ht="19" x14ac:dyDescent="0.25">
      <c r="B47" s="26" t="s">
        <v>107</v>
      </c>
      <c r="C47" s="27" t="s">
        <v>147</v>
      </c>
      <c r="D47" s="26">
        <v>0</v>
      </c>
      <c r="E47" s="26">
        <v>326.8</v>
      </c>
      <c r="F47" s="35" t="s">
        <v>142</v>
      </c>
      <c r="G47" s="35" t="s">
        <v>142</v>
      </c>
      <c r="H47" s="43" t="b">
        <v>0</v>
      </c>
      <c r="I47" s="35" t="s">
        <v>142</v>
      </c>
      <c r="J47" s="35" t="s">
        <v>142</v>
      </c>
      <c r="K47" s="35" t="s">
        <v>142</v>
      </c>
      <c r="L47" s="35" t="s">
        <v>142</v>
      </c>
      <c r="M47" s="35" t="s">
        <v>142</v>
      </c>
      <c r="N47" s="35" t="s">
        <v>142</v>
      </c>
      <c r="O47" s="35" t="s">
        <v>142</v>
      </c>
      <c r="P47" s="26">
        <v>0</v>
      </c>
      <c r="Q47" s="26">
        <v>0.9</v>
      </c>
      <c r="R47" s="35" t="s">
        <v>142</v>
      </c>
      <c r="S47" s="35" t="s">
        <v>142</v>
      </c>
      <c r="T47" s="35" t="s">
        <v>142</v>
      </c>
    </row>
    <row r="48" spans="2:20" ht="19" x14ac:dyDescent="0.25">
      <c r="B48" s="26" t="s">
        <v>108</v>
      </c>
      <c r="C48" s="27" t="s">
        <v>147</v>
      </c>
      <c r="D48" s="26">
        <v>0</v>
      </c>
      <c r="E48" s="26">
        <v>56.9</v>
      </c>
      <c r="F48" s="35" t="s">
        <v>142</v>
      </c>
      <c r="G48" s="35" t="s">
        <v>142</v>
      </c>
      <c r="H48" s="43" t="b">
        <v>0</v>
      </c>
      <c r="I48" s="35" t="s">
        <v>142</v>
      </c>
      <c r="J48" s="35" t="s">
        <v>142</v>
      </c>
      <c r="K48" s="35" t="s">
        <v>142</v>
      </c>
      <c r="L48" s="35" t="s">
        <v>142</v>
      </c>
      <c r="M48" s="35" t="s">
        <v>142</v>
      </c>
      <c r="N48" s="35" t="s">
        <v>142</v>
      </c>
      <c r="O48" s="35" t="s">
        <v>142</v>
      </c>
      <c r="P48" s="26">
        <v>0</v>
      </c>
      <c r="Q48" s="26">
        <v>0.9</v>
      </c>
      <c r="R48" s="35" t="s">
        <v>142</v>
      </c>
      <c r="S48" s="35" t="s">
        <v>142</v>
      </c>
      <c r="T48" s="35" t="s">
        <v>142</v>
      </c>
    </row>
    <row r="49" spans="2:20" ht="19" x14ac:dyDescent="0.25">
      <c r="B49" s="26" t="s">
        <v>111</v>
      </c>
      <c r="C49" s="27" t="s">
        <v>147</v>
      </c>
      <c r="D49" s="26">
        <v>0</v>
      </c>
      <c r="E49" s="26">
        <v>132</v>
      </c>
      <c r="F49" s="28" t="s">
        <v>142</v>
      </c>
      <c r="G49" s="28" t="s">
        <v>142</v>
      </c>
      <c r="H49" s="43" t="b">
        <v>0</v>
      </c>
      <c r="I49" s="28" t="s">
        <v>142</v>
      </c>
      <c r="J49" s="28" t="s">
        <v>142</v>
      </c>
      <c r="K49" s="28" t="s">
        <v>142</v>
      </c>
      <c r="L49" s="28" t="s">
        <v>142</v>
      </c>
      <c r="M49" s="28" t="s">
        <v>142</v>
      </c>
      <c r="N49" s="28" t="s">
        <v>142</v>
      </c>
      <c r="O49" s="28" t="s">
        <v>142</v>
      </c>
      <c r="P49" s="26">
        <v>0</v>
      </c>
      <c r="Q49" s="26">
        <v>0.9</v>
      </c>
      <c r="R49" s="28" t="s">
        <v>142</v>
      </c>
      <c r="S49" s="28" t="s">
        <v>142</v>
      </c>
      <c r="T49" s="28" t="s">
        <v>142</v>
      </c>
    </row>
    <row r="50" spans="2:20" ht="19" x14ac:dyDescent="0.25">
      <c r="B50" s="26" t="s">
        <v>113</v>
      </c>
      <c r="C50" s="27" t="s">
        <v>147</v>
      </c>
      <c r="D50" s="26">
        <v>0</v>
      </c>
      <c r="E50" s="26">
        <v>1858</v>
      </c>
      <c r="F50" s="28" t="s">
        <v>142</v>
      </c>
      <c r="G50" s="28" t="s">
        <v>142</v>
      </c>
      <c r="H50" s="43" t="b">
        <v>0</v>
      </c>
      <c r="I50" s="28" t="s">
        <v>142</v>
      </c>
      <c r="J50" s="28" t="s">
        <v>142</v>
      </c>
      <c r="K50" s="28" t="s">
        <v>142</v>
      </c>
      <c r="L50" s="28" t="s">
        <v>142</v>
      </c>
      <c r="M50" s="28" t="s">
        <v>142</v>
      </c>
      <c r="N50" s="28" t="s">
        <v>142</v>
      </c>
      <c r="O50" s="28" t="s">
        <v>142</v>
      </c>
      <c r="P50" s="26">
        <v>0</v>
      </c>
      <c r="Q50" s="26">
        <v>0.9</v>
      </c>
      <c r="R50" s="28" t="s">
        <v>142</v>
      </c>
      <c r="S50" s="28" t="s">
        <v>142</v>
      </c>
      <c r="T50" s="28" t="s">
        <v>142</v>
      </c>
    </row>
    <row r="51" spans="2:20" ht="19" x14ac:dyDescent="0.25">
      <c r="B51" s="29" t="s">
        <v>72</v>
      </c>
      <c r="C51" s="31" t="s">
        <v>143</v>
      </c>
      <c r="D51" s="26">
        <v>0</v>
      </c>
      <c r="E51" s="29">
        <v>25</v>
      </c>
      <c r="F51" s="28" t="s">
        <v>142</v>
      </c>
      <c r="G51" s="28" t="s">
        <v>142</v>
      </c>
      <c r="H51" s="43" t="b">
        <v>0</v>
      </c>
      <c r="I51" s="28" t="s">
        <v>142</v>
      </c>
      <c r="J51" s="28" t="s">
        <v>142</v>
      </c>
      <c r="K51" s="28" t="s">
        <v>142</v>
      </c>
      <c r="L51" s="28" t="s">
        <v>142</v>
      </c>
      <c r="M51" s="28" t="s">
        <v>142</v>
      </c>
      <c r="N51" s="28" t="s">
        <v>142</v>
      </c>
      <c r="O51" s="28" t="s">
        <v>142</v>
      </c>
      <c r="P51" s="26">
        <v>60</v>
      </c>
      <c r="Q51" s="29">
        <v>0.46800000000000003</v>
      </c>
      <c r="R51" s="28" t="s">
        <v>142</v>
      </c>
      <c r="S51" s="28" t="s">
        <v>142</v>
      </c>
      <c r="T51" s="28" t="s">
        <v>142</v>
      </c>
    </row>
    <row r="52" spans="2:20" ht="19" x14ac:dyDescent="0.25">
      <c r="B52" s="29" t="s">
        <v>76</v>
      </c>
      <c r="C52" s="31" t="s">
        <v>143</v>
      </c>
      <c r="D52" s="26">
        <v>0</v>
      </c>
      <c r="E52" s="29">
        <v>77</v>
      </c>
      <c r="F52" s="28" t="s">
        <v>142</v>
      </c>
      <c r="G52" s="28" t="s">
        <v>142</v>
      </c>
      <c r="H52" s="43" t="b">
        <v>0</v>
      </c>
      <c r="I52" s="28" t="s">
        <v>142</v>
      </c>
      <c r="J52" s="28" t="s">
        <v>142</v>
      </c>
      <c r="K52" s="28" t="s">
        <v>142</v>
      </c>
      <c r="L52" s="28" t="s">
        <v>142</v>
      </c>
      <c r="M52" s="28" t="s">
        <v>142</v>
      </c>
      <c r="N52" s="28" t="s">
        <v>142</v>
      </c>
      <c r="O52" s="28" t="s">
        <v>142</v>
      </c>
      <c r="P52" s="26">
        <v>60</v>
      </c>
      <c r="Q52" s="29">
        <v>0.46800000000000003</v>
      </c>
      <c r="R52" s="28" t="s">
        <v>142</v>
      </c>
      <c r="S52" s="28" t="s">
        <v>142</v>
      </c>
      <c r="T52" s="28" t="s">
        <v>142</v>
      </c>
    </row>
    <row r="53" spans="2:20" ht="19" x14ac:dyDescent="0.25">
      <c r="B53" s="29" t="s">
        <v>83</v>
      </c>
      <c r="C53" s="31" t="s">
        <v>143</v>
      </c>
      <c r="D53" s="26">
        <v>0</v>
      </c>
      <c r="E53" s="29">
        <v>50</v>
      </c>
      <c r="F53" s="28" t="s">
        <v>142</v>
      </c>
      <c r="G53" s="28" t="s">
        <v>142</v>
      </c>
      <c r="H53" s="43" t="b">
        <v>0</v>
      </c>
      <c r="I53" s="28" t="s">
        <v>142</v>
      </c>
      <c r="J53" s="28" t="s">
        <v>142</v>
      </c>
      <c r="K53" s="28" t="s">
        <v>142</v>
      </c>
      <c r="L53" s="28" t="s">
        <v>142</v>
      </c>
      <c r="M53" s="28" t="s">
        <v>142</v>
      </c>
      <c r="N53" s="28" t="s">
        <v>142</v>
      </c>
      <c r="O53" s="28" t="s">
        <v>142</v>
      </c>
      <c r="P53" s="26">
        <v>60</v>
      </c>
      <c r="Q53" s="29">
        <v>0.46800000000000003</v>
      </c>
      <c r="R53" s="28" t="s">
        <v>142</v>
      </c>
      <c r="S53" s="28" t="s">
        <v>142</v>
      </c>
      <c r="T53" s="28" t="s">
        <v>142</v>
      </c>
    </row>
    <row r="54" spans="2:20" ht="19" x14ac:dyDescent="0.25">
      <c r="B54" s="29" t="s">
        <v>84</v>
      </c>
      <c r="C54" s="31" t="s">
        <v>143</v>
      </c>
      <c r="D54" s="26">
        <v>0</v>
      </c>
      <c r="E54" s="29">
        <v>52.1</v>
      </c>
      <c r="F54" s="28" t="s">
        <v>142</v>
      </c>
      <c r="G54" s="28" t="s">
        <v>142</v>
      </c>
      <c r="H54" s="43" t="b">
        <v>0</v>
      </c>
      <c r="I54" s="28" t="s">
        <v>142</v>
      </c>
      <c r="J54" s="28" t="s">
        <v>142</v>
      </c>
      <c r="K54" s="28" t="s">
        <v>142</v>
      </c>
      <c r="L54" s="28" t="s">
        <v>142</v>
      </c>
      <c r="M54" s="28" t="s">
        <v>142</v>
      </c>
      <c r="N54" s="28" t="s">
        <v>142</v>
      </c>
      <c r="O54" s="28" t="s">
        <v>142</v>
      </c>
      <c r="P54" s="26">
        <v>60</v>
      </c>
      <c r="Q54" s="29">
        <v>0.46800000000000003</v>
      </c>
      <c r="R54" s="28" t="s">
        <v>142</v>
      </c>
      <c r="S54" s="28" t="s">
        <v>142</v>
      </c>
      <c r="T54" s="28" t="s">
        <v>142</v>
      </c>
    </row>
    <row r="55" spans="2:20" ht="19" x14ac:dyDescent="0.25">
      <c r="B55" s="29" t="s">
        <v>90</v>
      </c>
      <c r="C55" s="31" t="s">
        <v>143</v>
      </c>
      <c r="D55" s="26">
        <v>0</v>
      </c>
      <c r="E55" s="29">
        <v>50</v>
      </c>
      <c r="F55" s="28" t="s">
        <v>142</v>
      </c>
      <c r="G55" s="28" t="s">
        <v>142</v>
      </c>
      <c r="H55" s="43" t="b">
        <v>0</v>
      </c>
      <c r="I55" s="28" t="s">
        <v>142</v>
      </c>
      <c r="J55" s="28" t="s">
        <v>142</v>
      </c>
      <c r="K55" s="28" t="s">
        <v>142</v>
      </c>
      <c r="L55" s="28" t="s">
        <v>142</v>
      </c>
      <c r="M55" s="28" t="s">
        <v>142</v>
      </c>
      <c r="N55" s="28" t="s">
        <v>142</v>
      </c>
      <c r="O55" s="28" t="s">
        <v>142</v>
      </c>
      <c r="P55" s="26">
        <v>60</v>
      </c>
      <c r="Q55" s="29">
        <v>0.46800000000000003</v>
      </c>
      <c r="R55" s="28" t="s">
        <v>142</v>
      </c>
      <c r="S55" s="28" t="s">
        <v>142</v>
      </c>
      <c r="T55" s="28" t="s">
        <v>142</v>
      </c>
    </row>
    <row r="56" spans="2:20" ht="19" x14ac:dyDescent="0.25">
      <c r="B56" s="29" t="s">
        <v>92</v>
      </c>
      <c r="C56" s="31" t="s">
        <v>143</v>
      </c>
      <c r="D56" s="26">
        <v>0</v>
      </c>
      <c r="E56" s="29">
        <v>15</v>
      </c>
      <c r="F56" s="28" t="s">
        <v>142</v>
      </c>
      <c r="G56" s="28" t="s">
        <v>142</v>
      </c>
      <c r="H56" s="43" t="b">
        <v>0</v>
      </c>
      <c r="I56" s="28" t="s">
        <v>142</v>
      </c>
      <c r="J56" s="28" t="s">
        <v>142</v>
      </c>
      <c r="K56" s="28" t="s">
        <v>142</v>
      </c>
      <c r="L56" s="28" t="s">
        <v>142</v>
      </c>
      <c r="M56" s="28" t="s">
        <v>142</v>
      </c>
      <c r="N56" s="28" t="s">
        <v>142</v>
      </c>
      <c r="O56" s="28" t="s">
        <v>142</v>
      </c>
      <c r="P56" s="26">
        <v>60</v>
      </c>
      <c r="Q56" s="29">
        <v>0.46800000000000003</v>
      </c>
      <c r="R56" s="28" t="s">
        <v>142</v>
      </c>
      <c r="S56" s="28" t="s">
        <v>142</v>
      </c>
      <c r="T56" s="28" t="s">
        <v>142</v>
      </c>
    </row>
    <row r="57" spans="2:20" ht="19" x14ac:dyDescent="0.25">
      <c r="B57" s="29" t="s">
        <v>93</v>
      </c>
      <c r="C57" s="31" t="s">
        <v>143</v>
      </c>
      <c r="D57" s="26">
        <v>0</v>
      </c>
      <c r="E57" s="29">
        <v>20</v>
      </c>
      <c r="F57" s="28" t="s">
        <v>142</v>
      </c>
      <c r="G57" s="28" t="s">
        <v>142</v>
      </c>
      <c r="H57" s="43" t="b">
        <v>0</v>
      </c>
      <c r="I57" s="28" t="s">
        <v>142</v>
      </c>
      <c r="J57" s="28" t="s">
        <v>142</v>
      </c>
      <c r="K57" s="28" t="s">
        <v>142</v>
      </c>
      <c r="L57" s="28" t="s">
        <v>142</v>
      </c>
      <c r="M57" s="28" t="s">
        <v>142</v>
      </c>
      <c r="N57" s="28" t="s">
        <v>142</v>
      </c>
      <c r="O57" s="28" t="s">
        <v>142</v>
      </c>
      <c r="P57" s="26">
        <v>60</v>
      </c>
      <c r="Q57" s="29">
        <v>0.46800000000000003</v>
      </c>
      <c r="R57" s="28" t="s">
        <v>142</v>
      </c>
      <c r="S57" s="28" t="s">
        <v>142</v>
      </c>
      <c r="T57" s="28" t="s">
        <v>142</v>
      </c>
    </row>
    <row r="58" spans="2:20" ht="19" x14ac:dyDescent="0.25">
      <c r="B58" s="29" t="s">
        <v>97</v>
      </c>
      <c r="C58" s="31" t="s">
        <v>143</v>
      </c>
      <c r="D58" s="26">
        <v>0</v>
      </c>
      <c r="E58" s="29">
        <v>50</v>
      </c>
      <c r="F58" s="28" t="s">
        <v>142</v>
      </c>
      <c r="G58" s="28" t="s">
        <v>142</v>
      </c>
      <c r="H58" s="43" t="b">
        <v>0</v>
      </c>
      <c r="I58" s="28" t="s">
        <v>142</v>
      </c>
      <c r="J58" s="28" t="s">
        <v>142</v>
      </c>
      <c r="K58" s="28" t="s">
        <v>142</v>
      </c>
      <c r="L58" s="28" t="s">
        <v>142</v>
      </c>
      <c r="M58" s="28" t="s">
        <v>142</v>
      </c>
      <c r="N58" s="28" t="s">
        <v>142</v>
      </c>
      <c r="O58" s="28" t="s">
        <v>142</v>
      </c>
      <c r="P58" s="26">
        <v>60</v>
      </c>
      <c r="Q58" s="29">
        <v>0.46800000000000003</v>
      </c>
      <c r="R58" s="28" t="s">
        <v>142</v>
      </c>
      <c r="S58" s="28" t="s">
        <v>142</v>
      </c>
      <c r="T58" s="28" t="s">
        <v>142</v>
      </c>
    </row>
    <row r="59" spans="2:20" ht="19" x14ac:dyDescent="0.25">
      <c r="B59" s="29" t="s">
        <v>102</v>
      </c>
      <c r="C59" s="31" t="s">
        <v>143</v>
      </c>
      <c r="D59" s="26">
        <v>0</v>
      </c>
      <c r="E59" s="29">
        <v>50</v>
      </c>
      <c r="F59" s="28" t="s">
        <v>142</v>
      </c>
      <c r="G59" s="28" t="s">
        <v>142</v>
      </c>
      <c r="H59" s="43" t="b">
        <v>0</v>
      </c>
      <c r="I59" s="28" t="s">
        <v>142</v>
      </c>
      <c r="J59" s="28" t="s">
        <v>142</v>
      </c>
      <c r="K59" s="28" t="s">
        <v>142</v>
      </c>
      <c r="L59" s="28" t="s">
        <v>142</v>
      </c>
      <c r="M59" s="28" t="s">
        <v>142</v>
      </c>
      <c r="N59" s="28" t="s">
        <v>142</v>
      </c>
      <c r="O59" s="28" t="s">
        <v>142</v>
      </c>
      <c r="P59" s="26">
        <v>60</v>
      </c>
      <c r="Q59" s="29">
        <v>0.46800000000000003</v>
      </c>
      <c r="R59" s="28" t="s">
        <v>142</v>
      </c>
      <c r="S59" s="28" t="s">
        <v>142</v>
      </c>
      <c r="T59" s="28" t="s">
        <v>142</v>
      </c>
    </row>
    <row r="60" spans="2:20" ht="19" x14ac:dyDescent="0.25">
      <c r="B60" s="29" t="s">
        <v>104</v>
      </c>
      <c r="C60" s="31" t="s">
        <v>143</v>
      </c>
      <c r="D60" s="26">
        <v>0</v>
      </c>
      <c r="E60" s="29">
        <v>137</v>
      </c>
      <c r="F60" s="28" t="s">
        <v>142</v>
      </c>
      <c r="G60" s="28" t="s">
        <v>142</v>
      </c>
      <c r="H60" s="43" t="b">
        <v>0</v>
      </c>
      <c r="I60" s="28" t="s">
        <v>142</v>
      </c>
      <c r="J60" s="28" t="s">
        <v>142</v>
      </c>
      <c r="K60" s="28" t="s">
        <v>142</v>
      </c>
      <c r="L60" s="28" t="s">
        <v>142</v>
      </c>
      <c r="M60" s="28" t="s">
        <v>142</v>
      </c>
      <c r="N60" s="28" t="s">
        <v>142</v>
      </c>
      <c r="O60" s="28" t="s">
        <v>142</v>
      </c>
      <c r="P60" s="26">
        <v>60</v>
      </c>
      <c r="Q60" s="29">
        <v>0.46800000000000003</v>
      </c>
      <c r="R60" s="28" t="s">
        <v>142</v>
      </c>
      <c r="S60" s="28" t="s">
        <v>142</v>
      </c>
      <c r="T60" s="28" t="s">
        <v>142</v>
      </c>
    </row>
    <row r="61" spans="2:20" ht="19" x14ac:dyDescent="0.25">
      <c r="B61" s="29" t="s">
        <v>106</v>
      </c>
      <c r="C61" s="31" t="s">
        <v>143</v>
      </c>
      <c r="D61" s="26">
        <v>0</v>
      </c>
      <c r="E61" s="29">
        <v>53.9</v>
      </c>
      <c r="F61" s="28" t="s">
        <v>142</v>
      </c>
      <c r="G61" s="28" t="s">
        <v>142</v>
      </c>
      <c r="H61" s="43" t="b">
        <v>0</v>
      </c>
      <c r="I61" s="28" t="s">
        <v>142</v>
      </c>
      <c r="J61" s="28" t="s">
        <v>142</v>
      </c>
      <c r="K61" s="28" t="s">
        <v>142</v>
      </c>
      <c r="L61" s="28" t="s">
        <v>142</v>
      </c>
      <c r="M61" s="28" t="s">
        <v>142</v>
      </c>
      <c r="N61" s="28" t="s">
        <v>142</v>
      </c>
      <c r="O61" s="28" t="s">
        <v>142</v>
      </c>
      <c r="P61" s="26">
        <v>60</v>
      </c>
      <c r="Q61" s="29">
        <v>0.46800000000000003</v>
      </c>
      <c r="R61" s="28" t="s">
        <v>142</v>
      </c>
      <c r="S61" s="28" t="s">
        <v>142</v>
      </c>
      <c r="T61" s="28" t="s">
        <v>142</v>
      </c>
    </row>
    <row r="62" spans="2:20" ht="19" x14ac:dyDescent="0.25">
      <c r="B62" s="29" t="s">
        <v>107</v>
      </c>
      <c r="C62" s="31" t="s">
        <v>143</v>
      </c>
      <c r="D62" s="26">
        <v>0</v>
      </c>
      <c r="E62" s="29">
        <v>25</v>
      </c>
      <c r="F62" s="28" t="s">
        <v>142</v>
      </c>
      <c r="G62" s="28" t="s">
        <v>142</v>
      </c>
      <c r="H62" s="43" t="b">
        <v>0</v>
      </c>
      <c r="I62" s="28" t="s">
        <v>142</v>
      </c>
      <c r="J62" s="28" t="s">
        <v>142</v>
      </c>
      <c r="K62" s="28" t="s">
        <v>142</v>
      </c>
      <c r="L62" s="28" t="s">
        <v>142</v>
      </c>
      <c r="M62" s="28" t="s">
        <v>142</v>
      </c>
      <c r="N62" s="28" t="s">
        <v>142</v>
      </c>
      <c r="O62" s="28" t="s">
        <v>142</v>
      </c>
      <c r="P62" s="26">
        <v>60</v>
      </c>
      <c r="Q62" s="29">
        <v>0.46800000000000003</v>
      </c>
      <c r="R62" s="28" t="s">
        <v>142</v>
      </c>
      <c r="S62" s="28" t="s">
        <v>142</v>
      </c>
      <c r="T62" s="28" t="s">
        <v>142</v>
      </c>
    </row>
    <row r="63" spans="2:20" ht="19" x14ac:dyDescent="0.25">
      <c r="B63" s="29" t="s">
        <v>110</v>
      </c>
      <c r="C63" s="31" t="s">
        <v>143</v>
      </c>
      <c r="D63" s="26">
        <v>0</v>
      </c>
      <c r="E63" s="29">
        <v>241.9</v>
      </c>
      <c r="F63" s="28" t="s">
        <v>142</v>
      </c>
      <c r="G63" s="28" t="s">
        <v>142</v>
      </c>
      <c r="H63" s="43" t="b">
        <v>0</v>
      </c>
      <c r="I63" s="28" t="s">
        <v>142</v>
      </c>
      <c r="J63" s="28" t="s">
        <v>142</v>
      </c>
      <c r="K63" s="28" t="s">
        <v>142</v>
      </c>
      <c r="L63" s="28" t="s">
        <v>142</v>
      </c>
      <c r="M63" s="28" t="s">
        <v>142</v>
      </c>
      <c r="N63" s="28" t="s">
        <v>142</v>
      </c>
      <c r="O63" s="28" t="s">
        <v>142</v>
      </c>
      <c r="P63" s="26">
        <v>60</v>
      </c>
      <c r="Q63" s="29">
        <v>0.46800000000000003</v>
      </c>
      <c r="R63" s="28" t="s">
        <v>142</v>
      </c>
      <c r="S63" s="28" t="s">
        <v>142</v>
      </c>
      <c r="T63" s="28" t="s">
        <v>142</v>
      </c>
    </row>
    <row r="64" spans="2:20" ht="19" x14ac:dyDescent="0.25">
      <c r="B64" s="29" t="s">
        <v>111</v>
      </c>
      <c r="C64" s="31" t="s">
        <v>143</v>
      </c>
      <c r="D64" s="26">
        <v>0</v>
      </c>
      <c r="E64" s="29">
        <v>23.69</v>
      </c>
      <c r="F64" s="28" t="s">
        <v>142</v>
      </c>
      <c r="G64" s="28" t="s">
        <v>142</v>
      </c>
      <c r="H64" s="43" t="b">
        <v>0</v>
      </c>
      <c r="I64" s="28" t="s">
        <v>142</v>
      </c>
      <c r="J64" s="28" t="s">
        <v>142</v>
      </c>
      <c r="K64" s="28" t="s">
        <v>142</v>
      </c>
      <c r="L64" s="28" t="s">
        <v>142</v>
      </c>
      <c r="M64" s="28" t="s">
        <v>142</v>
      </c>
      <c r="N64" s="28" t="s">
        <v>142</v>
      </c>
      <c r="O64" s="28" t="s">
        <v>142</v>
      </c>
      <c r="P64" s="26">
        <v>60</v>
      </c>
      <c r="Q64" s="29">
        <v>0.46800000000000003</v>
      </c>
      <c r="R64" s="28" t="s">
        <v>142</v>
      </c>
      <c r="S64" s="28" t="s">
        <v>142</v>
      </c>
      <c r="T64" s="28" t="s">
        <v>142</v>
      </c>
    </row>
    <row r="65" spans="2:20" ht="19" x14ac:dyDescent="0.25">
      <c r="B65" s="29" t="s">
        <v>112</v>
      </c>
      <c r="C65" s="31" t="s">
        <v>143</v>
      </c>
      <c r="D65" s="26">
        <v>0</v>
      </c>
      <c r="E65" s="29">
        <v>35.1</v>
      </c>
      <c r="F65" s="28" t="s">
        <v>142</v>
      </c>
      <c r="G65" s="28" t="s">
        <v>142</v>
      </c>
      <c r="H65" s="43" t="b">
        <v>0</v>
      </c>
      <c r="I65" s="28" t="s">
        <v>142</v>
      </c>
      <c r="J65" s="28" t="s">
        <v>142</v>
      </c>
      <c r="K65" s="28" t="s">
        <v>142</v>
      </c>
      <c r="L65" s="28" t="s">
        <v>142</v>
      </c>
      <c r="M65" s="28" t="s">
        <v>142</v>
      </c>
      <c r="N65" s="28" t="s">
        <v>142</v>
      </c>
      <c r="O65" s="28" t="s">
        <v>142</v>
      </c>
      <c r="P65" s="26">
        <v>60</v>
      </c>
      <c r="Q65" s="29">
        <v>0.46800000000000003</v>
      </c>
      <c r="R65" s="28" t="s">
        <v>142</v>
      </c>
      <c r="S65" s="28" t="s">
        <v>142</v>
      </c>
      <c r="T65" s="28" t="s">
        <v>142</v>
      </c>
    </row>
  </sheetData>
  <mergeCells count="3">
    <mergeCell ref="D2:E2"/>
    <mergeCell ref="P2:T2"/>
    <mergeCell ref="F2:O2"/>
  </mergeCells>
  <dataValidations count="1">
    <dataValidation type="list" allowBlank="1" showInputMessage="1" showErrorMessage="1" sqref="H4:H1048576" xr:uid="{EF8947E4-428C-CB40-B402-6A23154DA0B3}">
      <formula1>"True, False"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D723B-317F-1541-96F1-7268C123A778}">
  <sheetPr codeName="Sheet6">
    <tabColor theme="6" tint="0.39997558519241921"/>
  </sheetPr>
  <dimension ref="B1:AB98"/>
  <sheetViews>
    <sheetView showGridLines="0" zoomScaleNormal="85" workbookViewId="0">
      <selection activeCell="Q45" sqref="Q45"/>
    </sheetView>
  </sheetViews>
  <sheetFormatPr baseColWidth="10" defaultColWidth="11.1640625" defaultRowHeight="16" x14ac:dyDescent="0.2"/>
  <cols>
    <col min="1" max="1" width="26.1640625" customWidth="1"/>
    <col min="2" max="2" width="22" customWidth="1"/>
    <col min="3" max="3" width="28.33203125" customWidth="1"/>
    <col min="4" max="4" width="18.83203125" customWidth="1"/>
    <col min="5" max="5" width="17.5" customWidth="1"/>
    <col min="6" max="6" width="9.6640625" customWidth="1"/>
    <col min="21" max="21" width="18.6640625" customWidth="1"/>
    <col min="22" max="22" width="17.83203125" customWidth="1"/>
  </cols>
  <sheetData>
    <row r="1" spans="2:28" ht="58" customHeight="1" x14ac:dyDescent="0.2"/>
    <row r="2" spans="2:28" x14ac:dyDescent="0.2">
      <c r="C2" s="48" t="s">
        <v>9</v>
      </c>
      <c r="D2" s="48"/>
      <c r="E2" s="48"/>
      <c r="H2" s="47" t="s">
        <v>123</v>
      </c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</row>
    <row r="3" spans="2:28" x14ac:dyDescent="0.2">
      <c r="B3" s="5" t="s">
        <v>6</v>
      </c>
      <c r="C3" s="5" t="s">
        <v>116</v>
      </c>
      <c r="D3" s="5" t="s">
        <v>7</v>
      </c>
      <c r="E3" s="5" t="s">
        <v>37</v>
      </c>
      <c r="G3" s="2" t="s">
        <v>124</v>
      </c>
      <c r="H3" s="19" t="s">
        <v>117</v>
      </c>
      <c r="I3" s="19" t="s">
        <v>118</v>
      </c>
      <c r="J3" s="19" t="s">
        <v>119</v>
      </c>
      <c r="K3" s="19" t="s">
        <v>120</v>
      </c>
      <c r="L3" s="19" t="s">
        <v>121</v>
      </c>
      <c r="M3" s="19" t="s">
        <v>12</v>
      </c>
      <c r="N3" s="19" t="s">
        <v>13</v>
      </c>
      <c r="O3" s="19" t="s">
        <v>14</v>
      </c>
      <c r="P3" s="19" t="s">
        <v>15</v>
      </c>
      <c r="Q3" s="19" t="s">
        <v>16</v>
      </c>
      <c r="R3" s="19" t="s">
        <v>17</v>
      </c>
      <c r="S3" s="19" t="s">
        <v>18</v>
      </c>
      <c r="T3" s="19" t="s">
        <v>11</v>
      </c>
      <c r="U3" s="19" t="s">
        <v>19</v>
      </c>
      <c r="V3" s="21" t="s">
        <v>20</v>
      </c>
      <c r="W3" s="19" t="s">
        <v>21</v>
      </c>
      <c r="X3" s="19" t="s">
        <v>22</v>
      </c>
      <c r="Y3" s="19" t="s">
        <v>23</v>
      </c>
      <c r="Z3" s="19" t="s">
        <v>24</v>
      </c>
      <c r="AA3" s="19" t="s">
        <v>25</v>
      </c>
      <c r="AB3" s="19" t="s">
        <v>26</v>
      </c>
    </row>
    <row r="4" spans="2:28" x14ac:dyDescent="0.2">
      <c r="B4" s="2" t="s">
        <v>65</v>
      </c>
      <c r="C4" s="2">
        <v>1.7296015012303718E-2</v>
      </c>
      <c r="D4" s="3" t="s">
        <v>8</v>
      </c>
      <c r="E4" s="2" t="s">
        <v>11</v>
      </c>
      <c r="G4" s="2">
        <v>2013</v>
      </c>
      <c r="H4" s="2">
        <v>42</v>
      </c>
      <c r="I4" s="2">
        <v>49</v>
      </c>
      <c r="J4" s="2">
        <v>44</v>
      </c>
      <c r="K4" s="2">
        <v>109</v>
      </c>
      <c r="L4" s="2">
        <v>29</v>
      </c>
      <c r="M4" s="19">
        <v>15.8887</v>
      </c>
      <c r="N4" s="19">
        <v>0.76319999999999999</v>
      </c>
      <c r="O4" s="19">
        <v>2.0243000000000002</v>
      </c>
      <c r="P4" s="19">
        <v>25.780899999999999</v>
      </c>
      <c r="Q4" s="19">
        <v>161.16890000000001</v>
      </c>
      <c r="R4" s="19">
        <v>85.452399999999997</v>
      </c>
      <c r="S4" s="19">
        <v>167.2696</v>
      </c>
      <c r="T4" s="19">
        <v>64.552499999999995</v>
      </c>
      <c r="U4" s="19">
        <v>489.1191</v>
      </c>
      <c r="V4" s="40">
        <v>922.16219999999998</v>
      </c>
      <c r="W4" s="19">
        <v>558.60230000000001</v>
      </c>
      <c r="X4" s="19">
        <v>260.43299999999999</v>
      </c>
      <c r="Y4" s="19">
        <v>347.64640000000003</v>
      </c>
      <c r="Z4" s="19">
        <v>865.48320000000001</v>
      </c>
      <c r="AA4" s="19">
        <v>437.86290000000002</v>
      </c>
      <c r="AB4" s="19">
        <v>5.79E-2</v>
      </c>
    </row>
    <row r="5" spans="2:28" x14ac:dyDescent="0.2">
      <c r="B5" s="2" t="s">
        <v>66</v>
      </c>
      <c r="C5" s="17">
        <v>2.0181634712411706E-3</v>
      </c>
      <c r="D5" s="3" t="s">
        <v>8</v>
      </c>
      <c r="E5" s="2" t="s">
        <v>22</v>
      </c>
      <c r="G5" s="2">
        <v>2014</v>
      </c>
      <c r="H5" s="2">
        <v>47</v>
      </c>
      <c r="I5" s="19">
        <v>65</v>
      </c>
      <c r="J5" s="2">
        <v>88</v>
      </c>
      <c r="K5" s="2">
        <v>140</v>
      </c>
      <c r="L5" s="2">
        <v>45</v>
      </c>
      <c r="M5" s="19">
        <v>15.9887</v>
      </c>
      <c r="N5" s="19">
        <v>0.76319999999999999</v>
      </c>
      <c r="O5" s="19">
        <v>2.0255000000000001</v>
      </c>
      <c r="P5" s="19">
        <v>25.800899999999999</v>
      </c>
      <c r="Q5" s="19">
        <v>161.16890000000001</v>
      </c>
      <c r="R5" s="19">
        <v>85.452399999999997</v>
      </c>
      <c r="S5" s="19">
        <v>167.46879999999999</v>
      </c>
      <c r="T5" s="19">
        <v>65.369500000000002</v>
      </c>
      <c r="U5" s="19">
        <v>492.12729999999999</v>
      </c>
      <c r="V5" s="19">
        <v>922.2296</v>
      </c>
      <c r="W5" s="19">
        <v>558.60230000000001</v>
      </c>
      <c r="X5" s="19">
        <v>261.50049999999999</v>
      </c>
      <c r="Y5" s="19">
        <v>347.79739999999998</v>
      </c>
      <c r="Z5" s="19">
        <v>866.3152</v>
      </c>
      <c r="AA5" s="19">
        <v>437.86419999999998</v>
      </c>
      <c r="AB5" s="19">
        <v>5.79E-2</v>
      </c>
    </row>
    <row r="6" spans="2:28" x14ac:dyDescent="0.2">
      <c r="B6" s="2" t="s">
        <v>67</v>
      </c>
      <c r="C6" s="17">
        <v>3.3945863650043373E-3</v>
      </c>
      <c r="D6" s="3" t="s">
        <v>8</v>
      </c>
      <c r="E6" s="2" t="s">
        <v>23</v>
      </c>
      <c r="G6" s="2">
        <v>2015</v>
      </c>
      <c r="H6" s="2">
        <v>48</v>
      </c>
      <c r="I6" s="2">
        <v>66</v>
      </c>
      <c r="J6" s="2">
        <v>91</v>
      </c>
      <c r="K6" s="2">
        <v>156</v>
      </c>
      <c r="L6" s="2">
        <v>50</v>
      </c>
      <c r="M6" s="19">
        <v>16.083600000000001</v>
      </c>
      <c r="N6" s="19">
        <v>0.76319999999999999</v>
      </c>
      <c r="O6" s="19">
        <v>2.0488</v>
      </c>
      <c r="P6" s="19">
        <v>25.8901</v>
      </c>
      <c r="Q6" s="19">
        <v>161.17490000000001</v>
      </c>
      <c r="R6" s="19">
        <v>85.712400000000002</v>
      </c>
      <c r="S6" s="19">
        <v>167.51240000000001</v>
      </c>
      <c r="T6" s="19">
        <v>65.737099999999998</v>
      </c>
      <c r="U6" s="19">
        <v>493.36219999999997</v>
      </c>
      <c r="V6" s="19">
        <v>923.55949999999996</v>
      </c>
      <c r="W6" s="19">
        <v>560.58230000000003</v>
      </c>
      <c r="X6" s="19">
        <v>263.7106</v>
      </c>
      <c r="Y6" s="19">
        <v>348.24430000000001</v>
      </c>
      <c r="Z6" s="19">
        <v>867.77689999999996</v>
      </c>
      <c r="AA6" s="19">
        <v>438.03469999999999</v>
      </c>
      <c r="AB6" s="19">
        <v>5.79E-2</v>
      </c>
    </row>
    <row r="7" spans="2:28" x14ac:dyDescent="0.2">
      <c r="B7" s="2" t="s">
        <v>68</v>
      </c>
      <c r="C7" s="17">
        <v>1.3321649229026148E-3</v>
      </c>
      <c r="D7" s="3" t="s">
        <v>8</v>
      </c>
      <c r="E7" s="2" t="s">
        <v>14</v>
      </c>
      <c r="G7" s="2">
        <v>2016</v>
      </c>
      <c r="H7" s="20">
        <v>70</v>
      </c>
      <c r="I7" s="20">
        <v>87</v>
      </c>
      <c r="J7" s="20">
        <v>100</v>
      </c>
      <c r="K7" s="20">
        <v>177</v>
      </c>
      <c r="L7" s="20">
        <v>57</v>
      </c>
      <c r="M7" s="2">
        <v>16.083600000000001</v>
      </c>
      <c r="N7" s="2">
        <v>0.7732</v>
      </c>
      <c r="O7" s="2">
        <v>2.0488</v>
      </c>
      <c r="P7" s="2">
        <v>26.026</v>
      </c>
      <c r="Q7" s="2">
        <v>161.18289999999999</v>
      </c>
      <c r="R7" s="2">
        <v>85.712400000000002</v>
      </c>
      <c r="S7" s="2">
        <v>167.51240000000001</v>
      </c>
      <c r="T7" s="2">
        <v>65.737099999999998</v>
      </c>
      <c r="U7" s="2">
        <v>493.36869999999999</v>
      </c>
      <c r="V7" s="2">
        <v>923.55949999999996</v>
      </c>
      <c r="W7" s="2">
        <v>561.08230000000003</v>
      </c>
      <c r="X7" s="2">
        <v>265.233</v>
      </c>
      <c r="Y7" s="2">
        <v>348.33929999999998</v>
      </c>
      <c r="Z7" s="2">
        <v>871.71040000000005</v>
      </c>
      <c r="AA7" s="2">
        <v>438.03469999999999</v>
      </c>
      <c r="AB7" s="2">
        <v>5.79E-2</v>
      </c>
    </row>
    <row r="8" spans="2:28" x14ac:dyDescent="0.2">
      <c r="B8" s="2" t="s">
        <v>69</v>
      </c>
      <c r="C8" s="2">
        <v>2.7656805990758936E-2</v>
      </c>
      <c r="D8" s="3" t="s">
        <v>8</v>
      </c>
      <c r="E8" s="2" t="s">
        <v>19</v>
      </c>
      <c r="G8" s="2">
        <v>2017</v>
      </c>
      <c r="H8" s="20">
        <v>88</v>
      </c>
      <c r="I8" s="20">
        <v>102</v>
      </c>
      <c r="J8" s="20">
        <v>106</v>
      </c>
      <c r="K8" s="20">
        <v>197</v>
      </c>
      <c r="L8" s="20">
        <v>61</v>
      </c>
      <c r="M8" s="2">
        <v>16.2136</v>
      </c>
      <c r="N8" s="2">
        <v>0.7732</v>
      </c>
      <c r="O8" s="2">
        <v>2.0488</v>
      </c>
      <c r="P8" s="2">
        <v>26.026</v>
      </c>
      <c r="Q8" s="2">
        <v>161.18889999999999</v>
      </c>
      <c r="R8" s="2">
        <v>85.712400000000002</v>
      </c>
      <c r="S8" s="2">
        <v>167.59440000000001</v>
      </c>
      <c r="T8" s="2">
        <v>66.237099999999998</v>
      </c>
      <c r="U8" s="2">
        <v>493.61829999999998</v>
      </c>
      <c r="V8" s="2">
        <v>924.60550000000001</v>
      </c>
      <c r="W8" s="2">
        <v>561.23230000000001</v>
      </c>
      <c r="X8" s="2">
        <v>265.6748</v>
      </c>
      <c r="Y8" s="2">
        <v>348.38830000000002</v>
      </c>
      <c r="Z8" s="2">
        <v>872.44929999999999</v>
      </c>
      <c r="AA8" s="2">
        <v>438.03469999999999</v>
      </c>
      <c r="AB8" s="2">
        <v>5.79E-2</v>
      </c>
    </row>
    <row r="9" spans="2:28" x14ac:dyDescent="0.2">
      <c r="B9" s="2" t="s">
        <v>70</v>
      </c>
      <c r="C9" s="2">
        <v>2.8289694974064833E-2</v>
      </c>
      <c r="D9" s="3" t="s">
        <v>8</v>
      </c>
      <c r="E9" s="2" t="s">
        <v>24</v>
      </c>
      <c r="G9" s="2">
        <v>2018</v>
      </c>
      <c r="H9" s="20">
        <v>104</v>
      </c>
      <c r="I9" s="20">
        <v>116</v>
      </c>
      <c r="J9" s="20">
        <v>112</v>
      </c>
      <c r="K9" s="20">
        <v>248</v>
      </c>
      <c r="L9" s="20">
        <v>66</v>
      </c>
      <c r="M9" s="2">
        <v>16.2136</v>
      </c>
      <c r="N9" s="2">
        <v>0.7732</v>
      </c>
      <c r="O9" s="2">
        <v>2.0488</v>
      </c>
      <c r="P9" s="2">
        <v>26.026</v>
      </c>
      <c r="Q9" s="2">
        <v>162.33269999999999</v>
      </c>
      <c r="R9" s="2">
        <v>85.712400000000002</v>
      </c>
      <c r="S9" s="2">
        <v>167.59440000000001</v>
      </c>
      <c r="T9" s="2">
        <v>66.237099999999998</v>
      </c>
      <c r="U9" s="2">
        <v>533.87070000000006</v>
      </c>
      <c r="V9" s="2">
        <v>924.60550000000001</v>
      </c>
      <c r="W9" s="2">
        <v>561.24220000000003</v>
      </c>
      <c r="X9" s="2">
        <v>268.02179999999998</v>
      </c>
      <c r="Y9" s="2">
        <v>360.38830000000002</v>
      </c>
      <c r="Z9" s="2">
        <v>875.58929999999998</v>
      </c>
      <c r="AA9" s="2">
        <v>441.37970000000001</v>
      </c>
      <c r="AB9" s="2">
        <v>5.79E-2</v>
      </c>
    </row>
    <row r="10" spans="2:28" x14ac:dyDescent="0.2">
      <c r="B10" s="2" t="s">
        <v>71</v>
      </c>
      <c r="C10" s="2">
        <v>2.568068759183529E-2</v>
      </c>
      <c r="D10" s="3" t="s">
        <v>8</v>
      </c>
      <c r="E10" s="2" t="s">
        <v>19</v>
      </c>
      <c r="G10" s="2">
        <v>2019</v>
      </c>
      <c r="H10" s="20">
        <v>137</v>
      </c>
      <c r="I10" s="20">
        <v>156</v>
      </c>
      <c r="J10" s="20">
        <v>126</v>
      </c>
      <c r="K10" s="20">
        <v>403</v>
      </c>
      <c r="L10" s="20">
        <v>69</v>
      </c>
      <c r="M10" s="2">
        <v>17.7136</v>
      </c>
      <c r="N10" s="2">
        <v>0.7732</v>
      </c>
      <c r="O10" s="2">
        <v>2.0488</v>
      </c>
      <c r="P10" s="2">
        <v>26.105799999999999</v>
      </c>
      <c r="Q10" s="2">
        <v>162.33269999999999</v>
      </c>
      <c r="R10" s="2">
        <v>98.909400000000005</v>
      </c>
      <c r="S10" s="2">
        <v>753.23509999999999</v>
      </c>
      <c r="T10" s="2">
        <v>66.237099999999998</v>
      </c>
      <c r="U10" s="2">
        <v>712.34559999999999</v>
      </c>
      <c r="V10" s="2">
        <v>1729.8141000000001</v>
      </c>
      <c r="W10" s="2">
        <v>1072.3669</v>
      </c>
      <c r="X10" s="2">
        <v>269.98910000000001</v>
      </c>
      <c r="Y10" s="2">
        <v>360.38830000000002</v>
      </c>
      <c r="Z10" s="2">
        <v>1469.12</v>
      </c>
      <c r="AA10" s="2">
        <v>1103.5744999999999</v>
      </c>
      <c r="AB10" s="2">
        <v>5.79E-2</v>
      </c>
    </row>
    <row r="11" spans="2:28" x14ac:dyDescent="0.2">
      <c r="B11" s="2" t="s">
        <v>72</v>
      </c>
      <c r="C11" s="2">
        <v>5.8309876608777242E-3</v>
      </c>
      <c r="D11" s="3" t="s">
        <v>8</v>
      </c>
      <c r="E11" s="2" t="s">
        <v>22</v>
      </c>
      <c r="G11" s="2">
        <v>2020</v>
      </c>
      <c r="H11" s="20">
        <v>162</v>
      </c>
      <c r="I11" s="20">
        <v>188</v>
      </c>
      <c r="J11" s="20">
        <v>136</v>
      </c>
      <c r="K11" s="20">
        <v>524</v>
      </c>
      <c r="L11" s="20">
        <v>73</v>
      </c>
      <c r="M11" s="2">
        <v>17.7136</v>
      </c>
      <c r="N11" s="2">
        <v>0.7732</v>
      </c>
      <c r="O11" s="2">
        <v>2.0488</v>
      </c>
      <c r="P11" s="2">
        <v>50.105800000000002</v>
      </c>
      <c r="Q11" s="2">
        <v>162.93270000000001</v>
      </c>
      <c r="R11" s="2">
        <v>98.909400000000005</v>
      </c>
      <c r="S11" s="2">
        <v>1099.1387999999999</v>
      </c>
      <c r="T11" s="2">
        <v>66.737099999999998</v>
      </c>
      <c r="U11" s="2">
        <v>840.77179999999998</v>
      </c>
      <c r="V11" s="2">
        <v>1925.1898000000001</v>
      </c>
      <c r="W11" s="2">
        <v>2328.7757999999999</v>
      </c>
      <c r="X11" s="2">
        <v>276.38810000000001</v>
      </c>
      <c r="Y11" s="2">
        <v>364.29910000000001</v>
      </c>
      <c r="Z11" s="2">
        <v>2089.4504999999999</v>
      </c>
      <c r="AA11" s="2">
        <v>1218.7228</v>
      </c>
      <c r="AB11" s="2">
        <v>5.79E-2</v>
      </c>
    </row>
    <row r="12" spans="2:28" x14ac:dyDescent="0.2">
      <c r="B12" s="2" t="s">
        <v>73</v>
      </c>
      <c r="C12" s="2">
        <v>1.3098146476180361E-2</v>
      </c>
      <c r="D12" s="3" t="s">
        <v>8</v>
      </c>
      <c r="E12" s="2" t="s">
        <v>19</v>
      </c>
      <c r="G12" s="2">
        <v>2021</v>
      </c>
      <c r="H12" s="20">
        <v>297</v>
      </c>
      <c r="I12" s="20">
        <v>284</v>
      </c>
      <c r="J12" s="20">
        <v>172</v>
      </c>
      <c r="K12" s="20">
        <v>721</v>
      </c>
      <c r="L12" s="20">
        <v>327</v>
      </c>
      <c r="M12" s="2">
        <v>17.683499999999999</v>
      </c>
      <c r="N12" s="2">
        <v>0.73709999999999998</v>
      </c>
      <c r="O12" s="2">
        <v>3.5488</v>
      </c>
      <c r="P12" s="2">
        <v>50.525500000000001</v>
      </c>
      <c r="Q12" s="2">
        <v>163.55269999999999</v>
      </c>
      <c r="R12" s="2">
        <v>99.759100000000004</v>
      </c>
      <c r="S12" s="2">
        <v>1503.5422000000001</v>
      </c>
      <c r="T12" s="2">
        <v>66.436300000000003</v>
      </c>
      <c r="U12" s="2">
        <v>1030.7711999999999</v>
      </c>
      <c r="V12" s="2">
        <v>2824.7231999999999</v>
      </c>
      <c r="W12" s="2">
        <v>3365.6097</v>
      </c>
      <c r="X12" s="2">
        <v>279.33749999999998</v>
      </c>
      <c r="Y12" s="2">
        <v>404.96940000000001</v>
      </c>
      <c r="Z12" s="2">
        <v>2968.2550999999999</v>
      </c>
      <c r="AA12" s="2">
        <v>1302.9530999999999</v>
      </c>
      <c r="AB12" s="2">
        <v>5.79E-2</v>
      </c>
    </row>
    <row r="13" spans="2:28" x14ac:dyDescent="0.2">
      <c r="B13" s="2" t="s">
        <v>74</v>
      </c>
      <c r="C13" s="2">
        <v>8.2370722467116339E-2</v>
      </c>
      <c r="D13" s="3" t="s">
        <v>8</v>
      </c>
      <c r="E13" s="2" t="s">
        <v>24</v>
      </c>
      <c r="G13" s="2">
        <v>2022</v>
      </c>
      <c r="H13" s="20">
        <v>482</v>
      </c>
      <c r="I13" s="20">
        <v>461</v>
      </c>
      <c r="J13" s="20">
        <v>315</v>
      </c>
      <c r="K13" s="20">
        <v>877</v>
      </c>
      <c r="L13" s="20">
        <v>524</v>
      </c>
      <c r="M13" s="2">
        <v>17.782699999999998</v>
      </c>
      <c r="N13" s="2">
        <v>0.79710000000000003</v>
      </c>
      <c r="O13" s="2">
        <v>3.6738</v>
      </c>
      <c r="P13" s="2">
        <v>50.685499999999998</v>
      </c>
      <c r="Q13" s="2">
        <v>163.55269999999999</v>
      </c>
      <c r="R13" s="2">
        <v>99.859099999999998</v>
      </c>
      <c r="S13" s="2">
        <v>1810.9880000000001</v>
      </c>
      <c r="T13" s="2">
        <v>66.436300000000003</v>
      </c>
      <c r="U13" s="2">
        <v>1396.5757000000001</v>
      </c>
      <c r="V13" s="2">
        <v>3893.9758000000002</v>
      </c>
      <c r="W13" s="2">
        <v>5319.424</v>
      </c>
      <c r="X13" s="2">
        <v>284.7353</v>
      </c>
      <c r="Y13" s="2">
        <v>410.04539999999997</v>
      </c>
      <c r="Z13" s="2">
        <v>3917.9250999999999</v>
      </c>
      <c r="AA13" s="2">
        <v>1404.2308</v>
      </c>
      <c r="AB13" s="2">
        <v>5.79E-2</v>
      </c>
    </row>
    <row r="14" spans="2:28" x14ac:dyDescent="0.2">
      <c r="B14" s="2" t="s">
        <v>75</v>
      </c>
      <c r="C14" s="2">
        <v>1.9654964859171137E-2</v>
      </c>
      <c r="D14" s="3" t="s">
        <v>8</v>
      </c>
      <c r="E14" s="2" t="s">
        <v>24</v>
      </c>
      <c r="G14" s="2">
        <v>2023</v>
      </c>
      <c r="H14" s="20">
        <v>752</v>
      </c>
      <c r="I14" s="20">
        <v>1025</v>
      </c>
      <c r="J14" s="20">
        <v>474</v>
      </c>
      <c r="K14" s="20">
        <v>1066</v>
      </c>
      <c r="L14" s="20">
        <v>553</v>
      </c>
      <c r="M14" s="2">
        <v>19.332699999999999</v>
      </c>
      <c r="N14" s="2">
        <v>0.87619999999999998</v>
      </c>
      <c r="O14" s="2">
        <v>3.9238</v>
      </c>
      <c r="P14" s="2">
        <v>57.3155</v>
      </c>
      <c r="Q14" s="2">
        <v>172.2927</v>
      </c>
      <c r="R14" s="2">
        <v>103.6181</v>
      </c>
      <c r="S14" s="2">
        <v>2259.2469000000001</v>
      </c>
      <c r="T14" s="2">
        <v>152.04130000000001</v>
      </c>
      <c r="U14" s="2">
        <v>1909.9184</v>
      </c>
      <c r="V14" s="2">
        <v>5764.7286999999997</v>
      </c>
      <c r="W14" s="2">
        <v>6014.6284999999998</v>
      </c>
      <c r="X14" s="2">
        <v>293.39640000000003</v>
      </c>
      <c r="Y14" s="2">
        <v>443.1404</v>
      </c>
      <c r="Z14" s="2">
        <v>4957.8874999999998</v>
      </c>
      <c r="AA14" s="2">
        <v>1553.2028</v>
      </c>
      <c r="AB14" s="2">
        <v>5.79E-2</v>
      </c>
    </row>
    <row r="15" spans="2:28" x14ac:dyDescent="0.2">
      <c r="B15" s="2" t="s">
        <v>76</v>
      </c>
      <c r="C15" s="2">
        <v>6.3510188184892104E-4</v>
      </c>
      <c r="D15" s="3" t="s">
        <v>8</v>
      </c>
      <c r="E15" s="2" t="s">
        <v>13</v>
      </c>
      <c r="G15" s="2">
        <v>2024</v>
      </c>
      <c r="H15" s="20">
        <v>946</v>
      </c>
      <c r="I15" s="20">
        <v>1601</v>
      </c>
      <c r="J15" s="20">
        <v>595</v>
      </c>
      <c r="K15" s="20">
        <v>1878</v>
      </c>
      <c r="L15" s="20">
        <v>621</v>
      </c>
      <c r="M15" s="2">
        <v>19.4649</v>
      </c>
      <c r="N15" s="2">
        <v>0.93620000000000003</v>
      </c>
      <c r="O15" s="2">
        <v>7.5818000000000003</v>
      </c>
      <c r="P15" s="2">
        <v>59.515500000000003</v>
      </c>
      <c r="Q15" s="2">
        <v>234.41380000000001</v>
      </c>
      <c r="R15" s="2">
        <v>105.11409999999999</v>
      </c>
      <c r="S15" s="2">
        <v>2781.4018999999998</v>
      </c>
      <c r="T15" s="2">
        <v>152.05860000000001</v>
      </c>
      <c r="U15" s="2">
        <v>2402.6529</v>
      </c>
      <c r="V15" s="2">
        <v>6752.4339</v>
      </c>
      <c r="W15" s="2">
        <v>6715.3987999999999</v>
      </c>
      <c r="X15" s="2">
        <v>308.52460000000002</v>
      </c>
      <c r="Y15" s="2">
        <v>477.52710000000002</v>
      </c>
      <c r="Z15" s="2">
        <v>6559.0370000000003</v>
      </c>
      <c r="AA15" s="2">
        <v>1690.5808</v>
      </c>
      <c r="AB15" s="2">
        <v>5.79E-2</v>
      </c>
    </row>
    <row r="16" spans="2:28" x14ac:dyDescent="0.2">
      <c r="B16" s="2" t="s">
        <v>77</v>
      </c>
      <c r="C16" s="2">
        <v>3.3193478145413988E-5</v>
      </c>
      <c r="D16" s="3" t="s">
        <v>8</v>
      </c>
      <c r="E16" s="2" t="s">
        <v>12</v>
      </c>
      <c r="G16" s="2">
        <v>2025</v>
      </c>
      <c r="H16" s="20">
        <v>1326</v>
      </c>
      <c r="I16" s="20">
        <v>1927</v>
      </c>
      <c r="J16" s="20">
        <v>677</v>
      </c>
      <c r="K16" s="20">
        <v>2192</v>
      </c>
      <c r="L16" s="20">
        <v>691</v>
      </c>
      <c r="M16" s="2">
        <v>19.4649</v>
      </c>
      <c r="N16" s="2">
        <v>0.93620000000000003</v>
      </c>
      <c r="O16" s="2">
        <v>7.5818000000000003</v>
      </c>
      <c r="P16" s="2">
        <v>62.514499999999998</v>
      </c>
      <c r="Q16" s="2">
        <v>279.63279999999997</v>
      </c>
      <c r="R16" s="2">
        <v>105.11409999999999</v>
      </c>
      <c r="S16" s="2">
        <v>3122.9047999999998</v>
      </c>
      <c r="T16" s="2">
        <v>152.05860000000001</v>
      </c>
      <c r="U16" s="2">
        <v>3964.9854</v>
      </c>
      <c r="V16" s="2">
        <v>7744.6749</v>
      </c>
      <c r="W16" s="2">
        <v>7094.5673999999999</v>
      </c>
      <c r="X16" s="2">
        <v>414.77620000000002</v>
      </c>
      <c r="Y16" s="2">
        <v>572.47410000000002</v>
      </c>
      <c r="Z16" s="2">
        <v>8186.1710000000003</v>
      </c>
      <c r="AA16" s="2">
        <v>1796.0708</v>
      </c>
      <c r="AB16" s="2">
        <v>5.79E-2</v>
      </c>
    </row>
    <row r="17" spans="2:28" x14ac:dyDescent="0.2">
      <c r="B17" s="2" t="s">
        <v>78</v>
      </c>
      <c r="C17" s="2">
        <v>5.8380689362154119E-2</v>
      </c>
      <c r="D17" s="3" t="s">
        <v>8</v>
      </c>
      <c r="E17" s="2" t="s">
        <v>20</v>
      </c>
      <c r="G17" s="2">
        <v>2026</v>
      </c>
      <c r="H17" s="20">
        <v>1333</v>
      </c>
      <c r="I17" s="20">
        <v>1967</v>
      </c>
      <c r="J17" s="20">
        <v>695</v>
      </c>
      <c r="K17" s="20">
        <v>2207</v>
      </c>
      <c r="L17" s="20">
        <v>692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2:28" x14ac:dyDescent="0.2">
      <c r="B18" s="2" t="s">
        <v>79</v>
      </c>
      <c r="C18" s="2">
        <v>5.3501248074778268E-2</v>
      </c>
      <c r="D18" s="3" t="s">
        <v>8</v>
      </c>
      <c r="E18" s="2" t="s">
        <v>25</v>
      </c>
    </row>
    <row r="19" spans="2:28" x14ac:dyDescent="0.2">
      <c r="B19" s="2" t="s">
        <v>80</v>
      </c>
      <c r="C19" s="2">
        <v>5.1516278081682514E-2</v>
      </c>
      <c r="D19" s="3" t="s">
        <v>8</v>
      </c>
      <c r="E19" s="2" t="s">
        <v>11</v>
      </c>
      <c r="H19" s="47" t="s">
        <v>122</v>
      </c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</row>
    <row r="20" spans="2:28" x14ac:dyDescent="0.2">
      <c r="B20" s="2" t="s">
        <v>81</v>
      </c>
      <c r="C20" s="2">
        <v>3.5315647848177457E-2</v>
      </c>
      <c r="D20" s="3" t="s">
        <v>8</v>
      </c>
      <c r="E20" s="2" t="s">
        <v>24</v>
      </c>
      <c r="G20" s="2" t="s">
        <v>124</v>
      </c>
      <c r="H20" s="19" t="s">
        <v>117</v>
      </c>
      <c r="I20" s="19" t="s">
        <v>118</v>
      </c>
      <c r="J20" s="19" t="s">
        <v>119</v>
      </c>
      <c r="K20" s="19" t="s">
        <v>120</v>
      </c>
      <c r="L20" s="19" t="s">
        <v>121</v>
      </c>
      <c r="M20" s="19" t="s">
        <v>12</v>
      </c>
      <c r="N20" s="19" t="s">
        <v>13</v>
      </c>
      <c r="O20" s="19" t="s">
        <v>14</v>
      </c>
      <c r="P20" s="19" t="s">
        <v>15</v>
      </c>
      <c r="Q20" s="19" t="s">
        <v>16</v>
      </c>
      <c r="R20" s="19" t="s">
        <v>17</v>
      </c>
      <c r="S20" s="19" t="s">
        <v>18</v>
      </c>
      <c r="T20" s="19" t="s">
        <v>11</v>
      </c>
      <c r="U20" s="19" t="s">
        <v>19</v>
      </c>
      <c r="V20" s="21" t="s">
        <v>20</v>
      </c>
      <c r="W20" s="19" t="s">
        <v>21</v>
      </c>
      <c r="X20" s="19" t="s">
        <v>22</v>
      </c>
      <c r="Y20" s="19" t="s">
        <v>23</v>
      </c>
      <c r="Z20" s="19" t="s">
        <v>24</v>
      </c>
      <c r="AA20" s="19" t="s">
        <v>25</v>
      </c>
      <c r="AB20" s="19" t="s">
        <v>26</v>
      </c>
    </row>
    <row r="21" spans="2:28" x14ac:dyDescent="0.2">
      <c r="B21" s="2" t="s">
        <v>82</v>
      </c>
      <c r="C21" s="2">
        <v>3.5317860746720484E-3</v>
      </c>
      <c r="D21" s="3" t="s">
        <v>8</v>
      </c>
      <c r="E21" s="2" t="s">
        <v>16</v>
      </c>
      <c r="G21" s="2">
        <v>2013</v>
      </c>
      <c r="H21" s="41">
        <v>1885</v>
      </c>
      <c r="I21" s="41">
        <v>2277</v>
      </c>
      <c r="J21" s="2">
        <v>103</v>
      </c>
      <c r="K21" s="19">
        <v>180</v>
      </c>
      <c r="L21" s="2">
        <v>209</v>
      </c>
      <c r="M21" s="19">
        <v>3343.9969999999998</v>
      </c>
      <c r="N21" s="19">
        <v>493</v>
      </c>
      <c r="O21" s="19">
        <v>35</v>
      </c>
      <c r="P21" s="19">
        <v>193</v>
      </c>
      <c r="Q21" s="19">
        <v>988.83879999999999</v>
      </c>
      <c r="R21" s="19">
        <v>448</v>
      </c>
      <c r="S21" s="19">
        <v>1797.05</v>
      </c>
      <c r="T21" s="2">
        <v>0</v>
      </c>
      <c r="U21" s="19">
        <v>5652.1845000000003</v>
      </c>
      <c r="V21" s="19">
        <v>3799.9992000000002</v>
      </c>
      <c r="W21" s="2">
        <v>39</v>
      </c>
      <c r="X21" s="19">
        <v>1283.51</v>
      </c>
      <c r="Y21" s="19">
        <v>1193.2446</v>
      </c>
      <c r="Z21" s="19">
        <v>3324.047</v>
      </c>
      <c r="AA21" s="19">
        <v>263</v>
      </c>
      <c r="AB21" s="2">
        <v>0</v>
      </c>
    </row>
    <row r="22" spans="2:28" x14ac:dyDescent="0.2">
      <c r="B22" s="2" t="s">
        <v>83</v>
      </c>
      <c r="C22" s="2">
        <v>4.8905057800909945E-4</v>
      </c>
      <c r="D22" s="3" t="s">
        <v>8</v>
      </c>
      <c r="E22" s="2" t="s">
        <v>19</v>
      </c>
      <c r="G22" s="2">
        <v>2014</v>
      </c>
      <c r="H22" s="41">
        <v>1971</v>
      </c>
      <c r="I22" s="41">
        <v>2378</v>
      </c>
      <c r="J22" s="2">
        <v>103</v>
      </c>
      <c r="K22" s="2">
        <v>210</v>
      </c>
      <c r="L22" s="2">
        <v>215</v>
      </c>
      <c r="M22" s="19">
        <v>3343.9969999999998</v>
      </c>
      <c r="N22" s="19">
        <v>493</v>
      </c>
      <c r="O22" s="19">
        <v>35</v>
      </c>
      <c r="P22" s="19">
        <v>193</v>
      </c>
      <c r="Q22" s="19">
        <v>988.83879999999999</v>
      </c>
      <c r="R22" s="19">
        <v>448</v>
      </c>
      <c r="S22" s="19">
        <v>1815.51</v>
      </c>
      <c r="T22" s="2">
        <v>0</v>
      </c>
      <c r="U22" s="19">
        <v>5652.1845000000003</v>
      </c>
      <c r="V22" s="19">
        <v>3799.9992000000002</v>
      </c>
      <c r="W22" s="2">
        <v>39</v>
      </c>
      <c r="X22" s="19">
        <v>1285.31</v>
      </c>
      <c r="Y22" s="19">
        <v>1193.2446</v>
      </c>
      <c r="Z22" s="19">
        <v>3324.0574999999999</v>
      </c>
      <c r="AA22" s="19">
        <v>263</v>
      </c>
      <c r="AB22" s="2">
        <v>0</v>
      </c>
    </row>
    <row r="23" spans="2:28" x14ac:dyDescent="0.2">
      <c r="B23" s="2" t="s">
        <v>84</v>
      </c>
      <c r="C23" s="2">
        <v>2.7459858020429481E-2</v>
      </c>
      <c r="D23" s="3" t="s">
        <v>8</v>
      </c>
      <c r="E23" s="2" t="s">
        <v>24</v>
      </c>
      <c r="G23" s="2">
        <v>2015</v>
      </c>
      <c r="H23" s="41">
        <v>1971</v>
      </c>
      <c r="I23" s="41">
        <v>2431</v>
      </c>
      <c r="J23" s="2">
        <v>103</v>
      </c>
      <c r="K23" s="2">
        <v>210</v>
      </c>
      <c r="L23" s="2">
        <v>221</v>
      </c>
      <c r="M23" s="19">
        <v>3358.0970000000002</v>
      </c>
      <c r="N23" s="19">
        <v>493</v>
      </c>
      <c r="O23" s="19">
        <v>35</v>
      </c>
      <c r="P23" s="19">
        <v>193</v>
      </c>
      <c r="Q23" s="19">
        <v>988.83879999999999</v>
      </c>
      <c r="R23" s="19">
        <v>448</v>
      </c>
      <c r="S23" s="19">
        <v>1815.51</v>
      </c>
      <c r="T23" s="2">
        <v>0</v>
      </c>
      <c r="U23" s="19">
        <v>5652.1845000000003</v>
      </c>
      <c r="V23" s="19">
        <v>3799.9992000000002</v>
      </c>
      <c r="W23" s="2">
        <v>39</v>
      </c>
      <c r="X23" s="19">
        <v>1285.31</v>
      </c>
      <c r="Y23" s="19">
        <v>1193.2446</v>
      </c>
      <c r="Z23" s="19">
        <v>3325.8575000000001</v>
      </c>
      <c r="AA23" s="19">
        <v>263</v>
      </c>
      <c r="AB23" s="2">
        <v>0</v>
      </c>
    </row>
    <row r="24" spans="2:28" x14ac:dyDescent="0.2">
      <c r="B24" s="2" t="s">
        <v>85</v>
      </c>
      <c r="C24" s="2">
        <v>1.1595588365464621E-3</v>
      </c>
      <c r="D24" s="3" t="s">
        <v>8</v>
      </c>
      <c r="E24" s="2" t="s">
        <v>22</v>
      </c>
      <c r="G24" s="2">
        <v>2016</v>
      </c>
      <c r="H24" s="20">
        <v>2169</v>
      </c>
      <c r="I24" s="20">
        <v>2518</v>
      </c>
      <c r="J24" s="20">
        <v>103</v>
      </c>
      <c r="K24" s="20">
        <v>222</v>
      </c>
      <c r="L24" s="20">
        <v>225</v>
      </c>
      <c r="M24" s="2">
        <v>3360.4969999999998</v>
      </c>
      <c r="N24" s="19">
        <v>493</v>
      </c>
      <c r="O24" s="19">
        <v>35</v>
      </c>
      <c r="P24" s="19">
        <v>193</v>
      </c>
      <c r="Q24" s="2">
        <v>1017.8088</v>
      </c>
      <c r="R24" s="19">
        <v>448</v>
      </c>
      <c r="S24" s="2">
        <v>1815.51</v>
      </c>
      <c r="T24" s="2">
        <v>0</v>
      </c>
      <c r="U24" s="2">
        <v>5679.1845000000003</v>
      </c>
      <c r="V24" s="2">
        <v>3799.9992000000002</v>
      </c>
      <c r="W24" s="2">
        <v>39</v>
      </c>
      <c r="X24" s="2">
        <v>1285.31</v>
      </c>
      <c r="Y24" s="2">
        <v>1193.2446</v>
      </c>
      <c r="Z24" s="2">
        <v>3325.8575000000001</v>
      </c>
      <c r="AA24" s="19">
        <v>263</v>
      </c>
      <c r="AB24" s="2">
        <v>0</v>
      </c>
    </row>
    <row r="25" spans="2:28" x14ac:dyDescent="0.2">
      <c r="B25" s="2" t="s">
        <v>86</v>
      </c>
      <c r="C25" s="2">
        <v>1.288570821604971E-2</v>
      </c>
      <c r="D25" s="3" t="s">
        <v>8</v>
      </c>
      <c r="E25" s="2" t="s">
        <v>17</v>
      </c>
      <c r="G25" s="2">
        <v>2017</v>
      </c>
      <c r="H25" s="20">
        <v>2169</v>
      </c>
      <c r="I25" s="20">
        <v>2518</v>
      </c>
      <c r="J25" s="20">
        <v>103</v>
      </c>
      <c r="K25" s="20">
        <v>222</v>
      </c>
      <c r="L25" s="20">
        <v>225</v>
      </c>
      <c r="M25" s="2">
        <v>3384.1469999999999</v>
      </c>
      <c r="N25" s="19">
        <v>493</v>
      </c>
      <c r="O25" s="19">
        <v>35</v>
      </c>
      <c r="P25" s="19">
        <v>193</v>
      </c>
      <c r="Q25" s="2">
        <v>974.00879999999995</v>
      </c>
      <c r="R25" s="19">
        <v>448</v>
      </c>
      <c r="S25" s="2">
        <v>1818.51</v>
      </c>
      <c r="T25" s="2">
        <v>0</v>
      </c>
      <c r="U25" s="2">
        <v>5683.6845000000003</v>
      </c>
      <c r="V25" s="2">
        <v>3800.2242000000001</v>
      </c>
      <c r="W25" s="2">
        <v>39</v>
      </c>
      <c r="X25" s="2">
        <v>1285.31</v>
      </c>
      <c r="Y25" s="2">
        <v>1193.2446</v>
      </c>
      <c r="Z25" s="2">
        <v>3325.8575000000001</v>
      </c>
      <c r="AA25" s="19">
        <v>263</v>
      </c>
      <c r="AB25" s="2">
        <v>0</v>
      </c>
    </row>
    <row r="26" spans="2:28" x14ac:dyDescent="0.2">
      <c r="B26" s="2" t="s">
        <v>87</v>
      </c>
      <c r="C26" s="2">
        <v>5.9925292545187393E-3</v>
      </c>
      <c r="D26" s="3" t="s">
        <v>8</v>
      </c>
      <c r="E26" s="2" t="s">
        <v>23</v>
      </c>
      <c r="G26" s="2">
        <v>2018</v>
      </c>
      <c r="H26" s="20">
        <v>2210</v>
      </c>
      <c r="I26" s="20">
        <v>2543</v>
      </c>
      <c r="J26" s="20">
        <v>103</v>
      </c>
      <c r="K26" s="20">
        <v>222</v>
      </c>
      <c r="L26" s="20">
        <v>225</v>
      </c>
      <c r="M26" s="2">
        <v>3397.4720000000002</v>
      </c>
      <c r="N26" s="19">
        <v>493</v>
      </c>
      <c r="O26" s="19">
        <v>35</v>
      </c>
      <c r="P26" s="19">
        <v>193</v>
      </c>
      <c r="Q26" s="2">
        <v>929.60879999999997</v>
      </c>
      <c r="R26" s="19">
        <v>448</v>
      </c>
      <c r="S26" s="2">
        <v>1815.85</v>
      </c>
      <c r="T26" s="2">
        <v>0</v>
      </c>
      <c r="U26" s="2">
        <v>5725.2645000000002</v>
      </c>
      <c r="V26" s="2">
        <v>3809.2242000000001</v>
      </c>
      <c r="W26" s="2">
        <v>39</v>
      </c>
      <c r="X26" s="2">
        <v>1287.6600000000001</v>
      </c>
      <c r="Y26" s="2">
        <v>1193.2865999999999</v>
      </c>
      <c r="Z26" s="2">
        <v>3325.8575000000001</v>
      </c>
      <c r="AA26" s="19">
        <v>263</v>
      </c>
      <c r="AB26" s="2">
        <v>0</v>
      </c>
    </row>
    <row r="27" spans="2:28" x14ac:dyDescent="0.2">
      <c r="B27" s="2" t="s">
        <v>88</v>
      </c>
      <c r="C27" s="2">
        <v>1.2834811549560077E-4</v>
      </c>
      <c r="D27" s="3" t="s">
        <v>8</v>
      </c>
      <c r="E27" s="2" t="s">
        <v>15</v>
      </c>
      <c r="G27" s="2">
        <v>2019</v>
      </c>
      <c r="H27" s="20">
        <v>2235</v>
      </c>
      <c r="I27" s="20">
        <v>2594</v>
      </c>
      <c r="J27" s="20">
        <v>103</v>
      </c>
      <c r="K27" s="20">
        <v>222</v>
      </c>
      <c r="L27" s="20">
        <v>225</v>
      </c>
      <c r="M27" s="2">
        <v>3652.6320000000001</v>
      </c>
      <c r="N27" s="19">
        <v>493</v>
      </c>
      <c r="O27" s="19">
        <v>35</v>
      </c>
      <c r="P27" s="19">
        <v>193</v>
      </c>
      <c r="Q27" s="2">
        <v>978.11879999999996</v>
      </c>
      <c r="R27" s="19">
        <v>448</v>
      </c>
      <c r="S27" s="2">
        <v>2143.62</v>
      </c>
      <c r="T27" s="2">
        <v>0</v>
      </c>
      <c r="U27" s="2">
        <v>6045.4195</v>
      </c>
      <c r="V27" s="2">
        <v>3812.2242000000001</v>
      </c>
      <c r="W27" s="2">
        <v>39</v>
      </c>
      <c r="X27" s="2">
        <v>1287.6600000000001</v>
      </c>
      <c r="Y27" s="2">
        <v>1193.2865999999999</v>
      </c>
      <c r="Z27" s="2">
        <v>3407.0574999999999</v>
      </c>
      <c r="AA27" s="19">
        <v>263</v>
      </c>
      <c r="AB27" s="2">
        <v>0</v>
      </c>
    </row>
    <row r="28" spans="2:28" x14ac:dyDescent="0.2">
      <c r="B28" s="2" t="s">
        <v>89</v>
      </c>
      <c r="C28" s="2">
        <v>2.0292279639563086E-3</v>
      </c>
      <c r="D28" s="3" t="s">
        <v>8</v>
      </c>
      <c r="E28" s="2" t="s">
        <v>22</v>
      </c>
      <c r="G28" s="2">
        <v>2020</v>
      </c>
      <c r="H28" s="20">
        <v>2235</v>
      </c>
      <c r="I28" s="20">
        <v>2619</v>
      </c>
      <c r="J28" s="20">
        <v>103</v>
      </c>
      <c r="K28" s="20">
        <v>222</v>
      </c>
      <c r="L28" s="20">
        <v>225</v>
      </c>
      <c r="M28" s="2">
        <v>3838.0619999999999</v>
      </c>
      <c r="N28" s="19">
        <v>493</v>
      </c>
      <c r="O28" s="19">
        <v>35</v>
      </c>
      <c r="P28" s="19">
        <v>193</v>
      </c>
      <c r="Q28" s="2">
        <v>1180.0788</v>
      </c>
      <c r="R28" s="19">
        <v>448</v>
      </c>
      <c r="S28" s="2">
        <v>3668.05</v>
      </c>
      <c r="T28" s="2">
        <v>0</v>
      </c>
      <c r="U28" s="2">
        <v>6351.3294999999998</v>
      </c>
      <c r="V28" s="2">
        <v>3877.2242000000001</v>
      </c>
      <c r="W28" s="2">
        <v>39</v>
      </c>
      <c r="X28" s="2">
        <v>1287.6600000000001</v>
      </c>
      <c r="Y28" s="2">
        <v>1243.0766000000001</v>
      </c>
      <c r="Z28" s="2">
        <v>3473.2075</v>
      </c>
      <c r="AA28" s="19">
        <v>263</v>
      </c>
      <c r="AB28" s="2">
        <v>0</v>
      </c>
    </row>
    <row r="29" spans="2:28" x14ac:dyDescent="0.2">
      <c r="B29" s="2" t="s">
        <v>90</v>
      </c>
      <c r="C29" s="2">
        <v>4.6470869403579586E-5</v>
      </c>
      <c r="D29" s="3" t="s">
        <v>8</v>
      </c>
      <c r="E29" s="2" t="s">
        <v>12</v>
      </c>
      <c r="G29" s="2">
        <v>2021</v>
      </c>
      <c r="H29" s="20">
        <v>2241</v>
      </c>
      <c r="I29" s="20">
        <v>2754</v>
      </c>
      <c r="J29" s="20">
        <v>103</v>
      </c>
      <c r="K29" s="20">
        <v>222</v>
      </c>
      <c r="L29" s="20">
        <v>225</v>
      </c>
      <c r="M29" s="2">
        <v>3878.8620000000001</v>
      </c>
      <c r="N29" s="2">
        <v>623</v>
      </c>
      <c r="O29" s="19">
        <v>35</v>
      </c>
      <c r="P29" s="19">
        <v>193</v>
      </c>
      <c r="Q29" s="2">
        <v>1234.8438000000001</v>
      </c>
      <c r="R29" s="19">
        <v>448</v>
      </c>
      <c r="S29" s="2">
        <v>4409.0550000000003</v>
      </c>
      <c r="T29" s="2">
        <v>0</v>
      </c>
      <c r="U29" s="2">
        <v>6404.3194999999996</v>
      </c>
      <c r="V29" s="2">
        <v>3945.9241999999999</v>
      </c>
      <c r="W29" s="2">
        <v>39</v>
      </c>
      <c r="X29" s="2">
        <v>1292.1600000000001</v>
      </c>
      <c r="Y29" s="2">
        <v>1243.0766000000001</v>
      </c>
      <c r="Z29" s="2">
        <v>3473.2075</v>
      </c>
      <c r="AA29" s="19">
        <v>263</v>
      </c>
      <c r="AB29" s="2">
        <v>0</v>
      </c>
    </row>
    <row r="30" spans="2:28" x14ac:dyDescent="0.2">
      <c r="B30" s="2" t="s">
        <v>91</v>
      </c>
      <c r="C30" s="2">
        <v>2.1022536158762195E-3</v>
      </c>
      <c r="D30" s="3" t="s">
        <v>8</v>
      </c>
      <c r="E30" s="2" t="s">
        <v>22</v>
      </c>
      <c r="G30" s="2">
        <v>2022</v>
      </c>
      <c r="H30" s="20">
        <v>2254</v>
      </c>
      <c r="I30" s="20">
        <v>2817</v>
      </c>
      <c r="J30" s="20">
        <v>103</v>
      </c>
      <c r="K30" s="20">
        <v>222</v>
      </c>
      <c r="L30" s="20">
        <v>237</v>
      </c>
      <c r="M30" s="2">
        <v>3907.0520000000001</v>
      </c>
      <c r="N30" s="2">
        <v>673</v>
      </c>
      <c r="O30" s="19">
        <v>35</v>
      </c>
      <c r="P30" s="19">
        <v>193</v>
      </c>
      <c r="Q30" s="2">
        <v>1284.8388</v>
      </c>
      <c r="R30" s="19">
        <v>448</v>
      </c>
      <c r="S30" s="2">
        <v>4814.8249999999998</v>
      </c>
      <c r="T30" s="2">
        <v>0</v>
      </c>
      <c r="U30" s="2">
        <v>6625.1695</v>
      </c>
      <c r="V30" s="2">
        <v>4778.6242000000002</v>
      </c>
      <c r="W30" s="2">
        <v>39</v>
      </c>
      <c r="X30" s="2">
        <v>1292.1600000000001</v>
      </c>
      <c r="Y30" s="2">
        <v>1243.0766000000001</v>
      </c>
      <c r="Z30" s="2">
        <v>3535.1075000000001</v>
      </c>
      <c r="AA30" s="19">
        <v>263</v>
      </c>
      <c r="AB30" s="2">
        <v>0</v>
      </c>
    </row>
    <row r="31" spans="2:28" x14ac:dyDescent="0.2">
      <c r="B31" s="2" t="s">
        <v>92</v>
      </c>
      <c r="C31" s="2">
        <v>5.975047356028821E-2</v>
      </c>
      <c r="D31" s="3" t="s">
        <v>8</v>
      </c>
      <c r="E31" s="2" t="s">
        <v>21</v>
      </c>
      <c r="G31" s="2">
        <v>2023</v>
      </c>
      <c r="H31" s="20">
        <v>2360</v>
      </c>
      <c r="I31" s="20">
        <v>2872</v>
      </c>
      <c r="J31" s="20">
        <v>103</v>
      </c>
      <c r="K31" s="20">
        <v>222</v>
      </c>
      <c r="L31" s="20">
        <v>237</v>
      </c>
      <c r="M31" s="2">
        <v>3915.002</v>
      </c>
      <c r="N31" s="2">
        <v>674</v>
      </c>
      <c r="O31" s="19">
        <v>35</v>
      </c>
      <c r="P31" s="19">
        <v>193</v>
      </c>
      <c r="Q31" s="2">
        <v>1486.2467999999999</v>
      </c>
      <c r="R31" s="19">
        <v>448</v>
      </c>
      <c r="S31" s="2">
        <v>4966.6450000000004</v>
      </c>
      <c r="T31" s="2">
        <v>0</v>
      </c>
      <c r="U31" s="2">
        <v>6715.4695000000002</v>
      </c>
      <c r="V31" s="2">
        <v>4875.7241999999997</v>
      </c>
      <c r="W31" s="2">
        <v>88</v>
      </c>
      <c r="X31" s="2">
        <v>1339.86</v>
      </c>
      <c r="Y31" s="2">
        <v>1243.0766000000001</v>
      </c>
      <c r="Z31" s="2">
        <v>3609.6075000000001</v>
      </c>
      <c r="AA31" s="19">
        <v>263</v>
      </c>
      <c r="AB31" s="2">
        <v>0</v>
      </c>
    </row>
    <row r="32" spans="2:28" x14ac:dyDescent="0.2">
      <c r="B32" s="2" t="s">
        <v>93</v>
      </c>
      <c r="C32" s="2">
        <v>0.11451528670313522</v>
      </c>
      <c r="D32" s="3" t="s">
        <v>8</v>
      </c>
      <c r="E32" s="2" t="s">
        <v>21</v>
      </c>
      <c r="G32" s="2">
        <v>2024</v>
      </c>
      <c r="H32" s="20">
        <v>2366</v>
      </c>
      <c r="I32" s="20">
        <v>2934</v>
      </c>
      <c r="J32" s="20">
        <v>103</v>
      </c>
      <c r="K32" s="20">
        <v>222</v>
      </c>
      <c r="L32" s="20">
        <v>237</v>
      </c>
      <c r="M32" s="2">
        <v>3940.502</v>
      </c>
      <c r="N32" s="2">
        <v>674</v>
      </c>
      <c r="O32" s="19">
        <v>35</v>
      </c>
      <c r="P32" s="19">
        <v>193</v>
      </c>
      <c r="Q32" s="2">
        <v>1486.2467999999999</v>
      </c>
      <c r="R32" s="19">
        <v>448</v>
      </c>
      <c r="S32" s="2">
        <v>5404.9449999999997</v>
      </c>
      <c r="T32" s="2">
        <v>0</v>
      </c>
      <c r="U32" s="2">
        <v>7091.4695000000002</v>
      </c>
      <c r="V32" s="2">
        <v>4977.7241999999997</v>
      </c>
      <c r="W32" s="2">
        <v>88</v>
      </c>
      <c r="X32" s="2">
        <v>1397.15</v>
      </c>
      <c r="Y32" s="2">
        <v>1243.0766000000001</v>
      </c>
      <c r="Z32" s="2">
        <v>3661.8074999999999</v>
      </c>
      <c r="AA32" s="19">
        <v>263</v>
      </c>
      <c r="AB32" s="2">
        <v>0</v>
      </c>
    </row>
    <row r="33" spans="2:28" x14ac:dyDescent="0.2">
      <c r="B33" s="2" t="s">
        <v>94</v>
      </c>
      <c r="C33" s="2">
        <v>6.3919574415352204E-2</v>
      </c>
      <c r="D33" s="3" t="s">
        <v>8</v>
      </c>
      <c r="E33" s="2" t="s">
        <v>21</v>
      </c>
      <c r="G33" s="2">
        <v>2025</v>
      </c>
      <c r="H33" s="20">
        <v>2370</v>
      </c>
      <c r="I33" s="20">
        <v>2934</v>
      </c>
      <c r="J33" s="20">
        <v>103</v>
      </c>
      <c r="K33" s="20">
        <v>222</v>
      </c>
      <c r="L33" s="20">
        <v>237</v>
      </c>
      <c r="M33" s="2">
        <v>3963.8519999999999</v>
      </c>
      <c r="N33" s="2">
        <v>674</v>
      </c>
      <c r="O33" s="19">
        <v>35</v>
      </c>
      <c r="P33" s="19">
        <v>193</v>
      </c>
      <c r="Q33" s="2">
        <v>1536.2467999999999</v>
      </c>
      <c r="R33" s="19">
        <v>448</v>
      </c>
      <c r="S33" s="2">
        <v>5708.9449999999997</v>
      </c>
      <c r="T33" s="2">
        <v>0</v>
      </c>
      <c r="U33" s="2">
        <v>7716.1695</v>
      </c>
      <c r="V33" s="2">
        <v>4977.7241999999997</v>
      </c>
      <c r="W33" s="2">
        <v>88</v>
      </c>
      <c r="X33" s="2">
        <v>1427.15</v>
      </c>
      <c r="Y33" s="2">
        <v>1243.0766000000001</v>
      </c>
      <c r="Z33" s="2">
        <v>3699.0075000000002</v>
      </c>
      <c r="AA33" s="19">
        <v>263</v>
      </c>
      <c r="AB33" s="2">
        <v>0</v>
      </c>
    </row>
    <row r="34" spans="2:28" x14ac:dyDescent="0.2">
      <c r="B34" s="2" t="s">
        <v>95</v>
      </c>
      <c r="C34" s="2">
        <v>1.2170941986651796E-4</v>
      </c>
      <c r="D34" s="3" t="s">
        <v>8</v>
      </c>
      <c r="E34" s="2" t="s">
        <v>12</v>
      </c>
      <c r="G34" s="2">
        <v>2026</v>
      </c>
      <c r="H34" s="20">
        <v>2370</v>
      </c>
      <c r="I34" s="20">
        <v>2934</v>
      </c>
      <c r="J34" s="20">
        <v>103</v>
      </c>
      <c r="K34" s="20">
        <v>222</v>
      </c>
      <c r="L34" s="20">
        <v>237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2:28" x14ac:dyDescent="0.2">
      <c r="B35" s="2" t="s">
        <v>96</v>
      </c>
      <c r="C35" s="2">
        <v>1.2170941986651796E-4</v>
      </c>
      <c r="D35" s="3" t="s">
        <v>8</v>
      </c>
      <c r="E35" s="2" t="s">
        <v>15</v>
      </c>
    </row>
    <row r="36" spans="2:28" x14ac:dyDescent="0.2">
      <c r="B36" s="2" t="s">
        <v>97</v>
      </c>
      <c r="C36" s="2">
        <v>5.088338909837662E-2</v>
      </c>
      <c r="D36" s="3" t="s">
        <v>8</v>
      </c>
      <c r="E36" s="2" t="s">
        <v>20</v>
      </c>
    </row>
    <row r="37" spans="2:28" x14ac:dyDescent="0.2">
      <c r="B37" s="2" t="s">
        <v>98</v>
      </c>
      <c r="C37" s="2">
        <v>1.7156602404092978E-2</v>
      </c>
      <c r="D37" s="3" t="s">
        <v>8</v>
      </c>
      <c r="E37" s="2" t="s">
        <v>18</v>
      </c>
    </row>
    <row r="38" spans="2:28" x14ac:dyDescent="0.2">
      <c r="B38" s="2" t="s">
        <v>99</v>
      </c>
      <c r="C38" s="2">
        <v>5.2910404163789898E-3</v>
      </c>
      <c r="D38" s="3" t="s">
        <v>8</v>
      </c>
      <c r="E38" s="2" t="s">
        <v>23</v>
      </c>
    </row>
    <row r="39" spans="2:28" x14ac:dyDescent="0.2">
      <c r="B39" s="2" t="s">
        <v>100</v>
      </c>
      <c r="C39" s="2">
        <v>6.9595659178218004E-3</v>
      </c>
      <c r="D39" s="3" t="s">
        <v>8</v>
      </c>
      <c r="E39" s="2" t="s">
        <v>19</v>
      </c>
    </row>
    <row r="40" spans="2:28" x14ac:dyDescent="0.2">
      <c r="B40" s="2" t="s">
        <v>101</v>
      </c>
      <c r="C40" s="2">
        <v>1.3963389806504151E-2</v>
      </c>
      <c r="D40" s="3" t="s">
        <v>8</v>
      </c>
      <c r="E40" s="2" t="s">
        <v>24</v>
      </c>
    </row>
    <row r="41" spans="2:28" x14ac:dyDescent="0.2">
      <c r="B41" s="2" t="s">
        <v>102</v>
      </c>
      <c r="C41" s="2">
        <v>6.1719953263582775E-2</v>
      </c>
      <c r="D41" s="3" t="s">
        <v>8</v>
      </c>
      <c r="E41" s="2" t="s">
        <v>18</v>
      </c>
    </row>
    <row r="42" spans="2:28" x14ac:dyDescent="0.2">
      <c r="B42" s="2" t="s">
        <v>103</v>
      </c>
      <c r="C42" s="2">
        <v>1.1832368509568574E-2</v>
      </c>
      <c r="D42" s="3" t="s">
        <v>8</v>
      </c>
      <c r="E42" s="2" t="s">
        <v>19</v>
      </c>
    </row>
    <row r="43" spans="2:28" x14ac:dyDescent="0.2">
      <c r="B43" s="2" t="s">
        <v>104</v>
      </c>
      <c r="C43" s="2">
        <v>1.5901888930196329E-2</v>
      </c>
      <c r="D43" s="3" t="s">
        <v>8</v>
      </c>
      <c r="E43" s="2" t="s">
        <v>24</v>
      </c>
    </row>
    <row r="44" spans="2:28" x14ac:dyDescent="0.2">
      <c r="B44" s="2" t="s">
        <v>105</v>
      </c>
      <c r="C44" s="2">
        <v>5.9748260661745178E-4</v>
      </c>
      <c r="D44" s="3" t="s">
        <v>8</v>
      </c>
      <c r="E44" s="2" t="s">
        <v>12</v>
      </c>
    </row>
    <row r="45" spans="2:28" x14ac:dyDescent="0.2">
      <c r="B45" s="2" t="s">
        <v>106</v>
      </c>
      <c r="C45" s="2">
        <v>2.1099987607768159E-2</v>
      </c>
      <c r="D45" s="3" t="s">
        <v>8</v>
      </c>
      <c r="E45" s="2" t="s">
        <v>119</v>
      </c>
    </row>
    <row r="46" spans="2:28" x14ac:dyDescent="0.2">
      <c r="B46" s="2" t="s">
        <v>107</v>
      </c>
      <c r="C46" s="2">
        <v>3.3149220174553441E-3</v>
      </c>
      <c r="D46" s="3" t="s">
        <v>8</v>
      </c>
      <c r="E46" s="2" t="s">
        <v>117</v>
      </c>
    </row>
    <row r="47" spans="2:28" x14ac:dyDescent="0.2">
      <c r="B47" s="2" t="s">
        <v>108</v>
      </c>
      <c r="C47" s="2">
        <v>7.5127905535786995E-3</v>
      </c>
      <c r="D47" s="3" t="s">
        <v>8</v>
      </c>
      <c r="E47" s="2" t="s">
        <v>118</v>
      </c>
    </row>
    <row r="48" spans="2:28" x14ac:dyDescent="0.2">
      <c r="B48" s="2" t="s">
        <v>109</v>
      </c>
      <c r="C48" s="2">
        <v>2.0513569493865846E-2</v>
      </c>
      <c r="D48" s="3" t="s">
        <v>8</v>
      </c>
      <c r="E48" s="2" t="s">
        <v>121</v>
      </c>
    </row>
    <row r="49" spans="2:5" x14ac:dyDescent="0.2">
      <c r="B49" s="2" t="s">
        <v>110</v>
      </c>
      <c r="C49" s="2">
        <v>8.5617044629737807E-3</v>
      </c>
      <c r="D49" s="3" t="s">
        <v>8</v>
      </c>
      <c r="E49" s="2" t="s">
        <v>118</v>
      </c>
    </row>
    <row r="50" spans="2:5" x14ac:dyDescent="0.2">
      <c r="B50" s="2" t="s">
        <v>111</v>
      </c>
      <c r="C50" s="2">
        <v>1.6986209216279854E-2</v>
      </c>
      <c r="D50" s="3" t="s">
        <v>8</v>
      </c>
      <c r="E50" s="2" t="s">
        <v>120</v>
      </c>
    </row>
    <row r="51" spans="2:5" x14ac:dyDescent="0.2">
      <c r="B51" s="2" t="s">
        <v>112</v>
      </c>
      <c r="C51" s="2">
        <v>2.7417812948111958E-3</v>
      </c>
      <c r="D51" s="3" t="s">
        <v>8</v>
      </c>
      <c r="E51" s="2" t="s">
        <v>118</v>
      </c>
    </row>
    <row r="52" spans="2:5" x14ac:dyDescent="0.2">
      <c r="B52" s="2" t="s">
        <v>113</v>
      </c>
      <c r="C52" s="2">
        <v>6.0390001239223178E-3</v>
      </c>
      <c r="D52" s="3" t="s">
        <v>8</v>
      </c>
      <c r="E52" s="2" t="s">
        <v>117</v>
      </c>
    </row>
    <row r="53" spans="2:5" x14ac:dyDescent="0.2">
      <c r="B53" s="2" t="s">
        <v>65</v>
      </c>
      <c r="C53" s="2">
        <v>1.0691842391551307E-3</v>
      </c>
      <c r="D53" s="1" t="s">
        <v>35</v>
      </c>
      <c r="E53" s="2" t="s">
        <v>11</v>
      </c>
    </row>
    <row r="54" spans="2:5" x14ac:dyDescent="0.2">
      <c r="B54" s="2" t="s">
        <v>67</v>
      </c>
      <c r="C54" s="2">
        <v>2.4452243549477837E-2</v>
      </c>
      <c r="D54" s="1" t="s">
        <v>35</v>
      </c>
      <c r="E54" s="2" t="s">
        <v>23</v>
      </c>
    </row>
    <row r="55" spans="2:5" x14ac:dyDescent="0.2">
      <c r="B55" s="2" t="s">
        <v>68</v>
      </c>
      <c r="C55" s="2">
        <v>8.0188817936634807E-3</v>
      </c>
      <c r="D55" s="1" t="s">
        <v>35</v>
      </c>
      <c r="E55" s="2" t="s">
        <v>14</v>
      </c>
    </row>
    <row r="56" spans="2:5" x14ac:dyDescent="0.2">
      <c r="B56" s="2" t="s">
        <v>69</v>
      </c>
      <c r="C56" s="2">
        <v>4.9580746130221301E-2</v>
      </c>
      <c r="D56" s="1" t="s">
        <v>35</v>
      </c>
      <c r="E56" s="2" t="s">
        <v>19</v>
      </c>
    </row>
    <row r="57" spans="2:5" x14ac:dyDescent="0.2">
      <c r="B57" s="2" t="s">
        <v>70</v>
      </c>
      <c r="C57" s="2">
        <v>1.849688733738376E-2</v>
      </c>
      <c r="D57" s="1" t="s">
        <v>35</v>
      </c>
      <c r="E57" s="2" t="s">
        <v>24</v>
      </c>
    </row>
    <row r="58" spans="2:5" x14ac:dyDescent="0.2">
      <c r="B58" s="2" t="s">
        <v>71</v>
      </c>
      <c r="C58" s="2">
        <v>1.373901747314343E-2</v>
      </c>
      <c r="D58" s="1" t="s">
        <v>35</v>
      </c>
      <c r="E58" s="2" t="s">
        <v>19</v>
      </c>
    </row>
    <row r="59" spans="2:5" x14ac:dyDescent="0.2">
      <c r="B59" s="2" t="s">
        <v>72</v>
      </c>
      <c r="C59" s="2">
        <v>1.8002389626774515E-2</v>
      </c>
      <c r="D59" s="1" t="s">
        <v>35</v>
      </c>
      <c r="E59" s="2" t="s">
        <v>22</v>
      </c>
    </row>
    <row r="60" spans="2:5" x14ac:dyDescent="0.2">
      <c r="B60" s="2" t="s">
        <v>73</v>
      </c>
      <c r="C60" s="2">
        <v>6.5754830708040536E-3</v>
      </c>
      <c r="D60" s="1" t="s">
        <v>35</v>
      </c>
      <c r="E60" s="2" t="s">
        <v>19</v>
      </c>
    </row>
    <row r="61" spans="2:5" x14ac:dyDescent="0.2">
      <c r="B61" s="2" t="s">
        <v>75</v>
      </c>
      <c r="C61" s="2">
        <v>6.3883758289519062E-3</v>
      </c>
      <c r="D61" s="1" t="s">
        <v>35</v>
      </c>
      <c r="E61" s="2" t="s">
        <v>24</v>
      </c>
    </row>
    <row r="62" spans="2:5" x14ac:dyDescent="0.2">
      <c r="B62" s="2" t="s">
        <v>76</v>
      </c>
      <c r="C62" s="2">
        <v>1.373901747314343E-2</v>
      </c>
      <c r="D62" s="1" t="s">
        <v>35</v>
      </c>
      <c r="E62" s="2" t="s">
        <v>13</v>
      </c>
    </row>
    <row r="63" spans="2:5" x14ac:dyDescent="0.2">
      <c r="B63" s="2" t="s">
        <v>77</v>
      </c>
      <c r="C63" s="2">
        <v>4.8647882881558448E-2</v>
      </c>
      <c r="D63" s="1" t="s">
        <v>35</v>
      </c>
      <c r="E63" s="2" t="s">
        <v>12</v>
      </c>
    </row>
    <row r="64" spans="2:5" x14ac:dyDescent="0.2">
      <c r="B64" s="2" t="s">
        <v>78</v>
      </c>
      <c r="C64" s="2">
        <v>8.911383337298226E-2</v>
      </c>
      <c r="D64" s="1" t="s">
        <v>35</v>
      </c>
      <c r="E64" s="2" t="s">
        <v>20</v>
      </c>
    </row>
    <row r="65" spans="2:5" x14ac:dyDescent="0.2">
      <c r="B65" s="2" t="s">
        <v>79</v>
      </c>
      <c r="C65" s="2">
        <v>9.8632246062060804E-3</v>
      </c>
      <c r="D65" s="1" t="s">
        <v>35</v>
      </c>
      <c r="E65" s="2" t="s">
        <v>25</v>
      </c>
    </row>
    <row r="66" spans="2:5" x14ac:dyDescent="0.2">
      <c r="B66" s="2" t="s">
        <v>80</v>
      </c>
      <c r="C66" s="2">
        <v>7.2971824322337672E-3</v>
      </c>
      <c r="D66" s="1" t="s">
        <v>35</v>
      </c>
      <c r="E66" s="2" t="s">
        <v>11</v>
      </c>
    </row>
    <row r="67" spans="2:5" x14ac:dyDescent="0.2">
      <c r="B67" s="2" t="s">
        <v>81</v>
      </c>
      <c r="C67" s="2">
        <v>4.212051310151637E-2</v>
      </c>
      <c r="D67" s="1" t="s">
        <v>35</v>
      </c>
      <c r="E67" s="2" t="s">
        <v>24</v>
      </c>
    </row>
    <row r="68" spans="2:5" x14ac:dyDescent="0.2">
      <c r="B68" s="2" t="s">
        <v>82</v>
      </c>
      <c r="C68" s="2">
        <v>2.965115191236966E-2</v>
      </c>
      <c r="D68" s="1" t="s">
        <v>35</v>
      </c>
      <c r="E68" s="2" t="s">
        <v>16</v>
      </c>
    </row>
    <row r="69" spans="2:5" x14ac:dyDescent="0.2">
      <c r="B69" s="2" t="s">
        <v>83</v>
      </c>
      <c r="C69" s="2">
        <v>1.8192169829224548E-2</v>
      </c>
      <c r="D69" s="1" t="s">
        <v>35</v>
      </c>
      <c r="E69" s="2" t="s">
        <v>19</v>
      </c>
    </row>
    <row r="70" spans="2:5" x14ac:dyDescent="0.2">
      <c r="B70" s="2" t="s">
        <v>84</v>
      </c>
      <c r="C70" s="2">
        <v>8.01888179366348E-4</v>
      </c>
      <c r="D70" s="1" t="s">
        <v>35</v>
      </c>
      <c r="E70" s="2" t="s">
        <v>24</v>
      </c>
    </row>
    <row r="71" spans="2:5" x14ac:dyDescent="0.2">
      <c r="B71" s="2" t="s">
        <v>86</v>
      </c>
      <c r="C71" s="2">
        <v>1.1707567418748682E-2</v>
      </c>
      <c r="D71" s="1" t="s">
        <v>35</v>
      </c>
      <c r="E71" s="2" t="s">
        <v>17</v>
      </c>
    </row>
    <row r="72" spans="2:5" x14ac:dyDescent="0.2">
      <c r="B72" s="2" t="s">
        <v>87</v>
      </c>
      <c r="C72" s="2">
        <v>2.1918276902680181E-2</v>
      </c>
      <c r="D72" s="1" t="s">
        <v>35</v>
      </c>
      <c r="E72" s="2" t="s">
        <v>23</v>
      </c>
    </row>
    <row r="73" spans="2:5" x14ac:dyDescent="0.2">
      <c r="B73" s="2" t="s">
        <v>88</v>
      </c>
      <c r="C73" s="2">
        <v>2.0047204484158702E-3</v>
      </c>
      <c r="D73" s="1" t="s">
        <v>35</v>
      </c>
      <c r="E73" s="2" t="s">
        <v>15</v>
      </c>
    </row>
    <row r="74" spans="2:5" x14ac:dyDescent="0.2">
      <c r="B74" s="2" t="s">
        <v>89</v>
      </c>
      <c r="C74" s="2">
        <v>1.5048768166108464E-2</v>
      </c>
      <c r="D74" s="1" t="s">
        <v>35</v>
      </c>
      <c r="E74" s="2" t="s">
        <v>22</v>
      </c>
    </row>
    <row r="75" spans="2:5" x14ac:dyDescent="0.2">
      <c r="B75" s="2" t="s">
        <v>90</v>
      </c>
      <c r="C75" s="2">
        <v>2.0680696145858116E-2</v>
      </c>
      <c r="D75" s="1" t="s">
        <v>35</v>
      </c>
      <c r="E75" s="2" t="s">
        <v>12</v>
      </c>
    </row>
    <row r="76" spans="2:5" x14ac:dyDescent="0.2">
      <c r="B76" s="2" t="s">
        <v>91</v>
      </c>
      <c r="C76" s="2">
        <v>2.5125829620145572E-3</v>
      </c>
      <c r="D76" s="1" t="s">
        <v>35</v>
      </c>
      <c r="E76" s="2" t="s">
        <v>22</v>
      </c>
    </row>
    <row r="77" spans="2:5" x14ac:dyDescent="0.2">
      <c r="B77" s="2" t="s">
        <v>92</v>
      </c>
      <c r="C77" s="2">
        <v>3.2610119294231485E-3</v>
      </c>
      <c r="D77" s="1" t="s">
        <v>35</v>
      </c>
      <c r="E77" s="2" t="s">
        <v>21</v>
      </c>
    </row>
    <row r="78" spans="2:5" x14ac:dyDescent="0.2">
      <c r="B78" s="2" t="s">
        <v>93</v>
      </c>
      <c r="C78" s="2">
        <v>5.3459211957756537E-4</v>
      </c>
      <c r="D78" s="1" t="s">
        <v>35</v>
      </c>
      <c r="E78" s="2" t="s">
        <v>21</v>
      </c>
    </row>
    <row r="79" spans="2:5" x14ac:dyDescent="0.2">
      <c r="B79" s="2" t="s">
        <v>94</v>
      </c>
      <c r="C79" s="2">
        <v>1.3097506929650351E-3</v>
      </c>
      <c r="D79" s="1" t="s">
        <v>35</v>
      </c>
      <c r="E79" s="2" t="s">
        <v>21</v>
      </c>
    </row>
    <row r="80" spans="2:5" x14ac:dyDescent="0.2">
      <c r="B80" s="2" t="s">
        <v>95</v>
      </c>
      <c r="C80" s="2">
        <v>1.0745301603509063E-2</v>
      </c>
      <c r="D80" s="1" t="s">
        <v>35</v>
      </c>
      <c r="E80" s="2" t="s">
        <v>12</v>
      </c>
    </row>
    <row r="81" spans="2:5" x14ac:dyDescent="0.2">
      <c r="B81" s="2" t="s">
        <v>96</v>
      </c>
      <c r="C81" s="2">
        <v>6.9496975545083495E-4</v>
      </c>
      <c r="D81" s="1" t="s">
        <v>35</v>
      </c>
      <c r="E81" s="2" t="s">
        <v>15</v>
      </c>
    </row>
    <row r="82" spans="2:5" x14ac:dyDescent="0.2">
      <c r="B82" s="2" t="s">
        <v>97</v>
      </c>
      <c r="C82" s="2">
        <v>1.0478005543720281E-2</v>
      </c>
      <c r="D82" s="1" t="s">
        <v>35</v>
      </c>
      <c r="E82" s="2" t="s">
        <v>20</v>
      </c>
    </row>
    <row r="83" spans="2:5" x14ac:dyDescent="0.2">
      <c r="B83" s="2" t="s">
        <v>98</v>
      </c>
      <c r="C83" s="2">
        <v>0.11138761403518151</v>
      </c>
      <c r="D83" s="1" t="s">
        <v>35</v>
      </c>
      <c r="E83" s="2" t="s">
        <v>18</v>
      </c>
    </row>
    <row r="84" spans="2:5" x14ac:dyDescent="0.2">
      <c r="B84" s="2" t="s">
        <v>99</v>
      </c>
      <c r="C84" s="2">
        <v>3.1273638995287572E-3</v>
      </c>
      <c r="D84" s="1" t="s">
        <v>35</v>
      </c>
      <c r="E84" s="2" t="s">
        <v>23</v>
      </c>
    </row>
    <row r="85" spans="2:5" x14ac:dyDescent="0.2">
      <c r="B85" s="2" t="s">
        <v>100</v>
      </c>
      <c r="C85" s="2">
        <v>5.2315184821860546E-2</v>
      </c>
      <c r="D85" s="1" t="s">
        <v>35</v>
      </c>
      <c r="E85" s="2" t="s">
        <v>19</v>
      </c>
    </row>
    <row r="86" spans="2:5" x14ac:dyDescent="0.2">
      <c r="B86" s="2" t="s">
        <v>101</v>
      </c>
      <c r="C86" s="2">
        <v>1.8550346549341519E-2</v>
      </c>
      <c r="D86" s="1" t="s">
        <v>35</v>
      </c>
      <c r="E86" s="2" t="s">
        <v>24</v>
      </c>
    </row>
    <row r="87" spans="2:5" x14ac:dyDescent="0.2">
      <c r="B87" s="2" t="s">
        <v>102</v>
      </c>
      <c r="C87" s="2">
        <v>0.11513243183282236</v>
      </c>
      <c r="D87" s="1" t="s">
        <v>35</v>
      </c>
      <c r="E87" s="2" t="s">
        <v>18</v>
      </c>
    </row>
    <row r="88" spans="2:5" x14ac:dyDescent="0.2">
      <c r="B88" s="2" t="s">
        <v>103</v>
      </c>
      <c r="C88" s="2">
        <v>4.8380586821769661E-3</v>
      </c>
      <c r="D88" s="1" t="s">
        <v>35</v>
      </c>
      <c r="E88" s="2" t="s">
        <v>19</v>
      </c>
    </row>
    <row r="89" spans="2:5" x14ac:dyDescent="0.2">
      <c r="B89" s="2" t="s">
        <v>104</v>
      </c>
      <c r="C89" s="2">
        <v>9.3820916985862726E-3</v>
      </c>
      <c r="D89" s="1" t="s">
        <v>35</v>
      </c>
      <c r="E89" s="2" t="s">
        <v>24</v>
      </c>
    </row>
    <row r="90" spans="2:5" x14ac:dyDescent="0.2">
      <c r="B90" s="2" t="s">
        <v>105</v>
      </c>
      <c r="C90" s="2">
        <v>2.8426935958537038E-2</v>
      </c>
      <c r="D90" s="1" t="s">
        <v>35</v>
      </c>
      <c r="E90" s="2" t="s">
        <v>12</v>
      </c>
    </row>
    <row r="91" spans="2:5" x14ac:dyDescent="0.2">
      <c r="B91" s="2" t="s">
        <v>106</v>
      </c>
      <c r="C91" s="2">
        <v>9.3419972896179541E-3</v>
      </c>
      <c r="D91" s="1" t="s">
        <v>35</v>
      </c>
      <c r="E91" s="2" t="s">
        <v>119</v>
      </c>
    </row>
    <row r="92" spans="2:5" x14ac:dyDescent="0.2">
      <c r="B92" s="2" t="s">
        <v>107</v>
      </c>
      <c r="C92" s="2">
        <v>2.8223790953097565E-2</v>
      </c>
      <c r="D92" s="1" t="s">
        <v>35</v>
      </c>
      <c r="E92" s="2" t="s">
        <v>117</v>
      </c>
    </row>
    <row r="93" spans="2:5" x14ac:dyDescent="0.2">
      <c r="B93" s="2" t="s">
        <v>108</v>
      </c>
      <c r="C93" s="2">
        <v>4.3272559119206029E-2</v>
      </c>
      <c r="D93" s="1" t="s">
        <v>35</v>
      </c>
      <c r="E93" s="2" t="s">
        <v>118</v>
      </c>
    </row>
    <row r="94" spans="2:5" x14ac:dyDescent="0.2">
      <c r="B94" s="2" t="s">
        <v>109</v>
      </c>
      <c r="C94" s="2">
        <v>6.9897919634766669E-3</v>
      </c>
      <c r="D94" s="1" t="s">
        <v>35</v>
      </c>
      <c r="E94" s="2" t="s">
        <v>121</v>
      </c>
    </row>
    <row r="95" spans="2:5" x14ac:dyDescent="0.2">
      <c r="B95" s="2" t="s">
        <v>110</v>
      </c>
      <c r="C95" s="2">
        <v>1.4196093735382248E-2</v>
      </c>
      <c r="D95" s="1" t="s">
        <v>35</v>
      </c>
      <c r="E95" s="2" t="s">
        <v>118</v>
      </c>
    </row>
    <row r="96" spans="2:5" x14ac:dyDescent="0.2">
      <c r="B96" s="2" t="s">
        <v>111</v>
      </c>
      <c r="C96" s="2">
        <v>3.2610119294231482E-4</v>
      </c>
      <c r="D96" s="1" t="s">
        <v>35</v>
      </c>
      <c r="E96" s="2" t="s">
        <v>120</v>
      </c>
    </row>
    <row r="97" spans="2:5" x14ac:dyDescent="0.2">
      <c r="B97" s="2" t="s">
        <v>112</v>
      </c>
      <c r="C97" s="2">
        <v>8.8287888548234921E-3</v>
      </c>
      <c r="D97" s="1" t="s">
        <v>35</v>
      </c>
      <c r="E97" s="2" t="s">
        <v>118</v>
      </c>
    </row>
    <row r="98" spans="2:5" x14ac:dyDescent="0.2">
      <c r="B98" s="2" t="s">
        <v>113</v>
      </c>
      <c r="C98" s="2">
        <v>3.9014532886770717E-2</v>
      </c>
      <c r="D98" s="1" t="s">
        <v>35</v>
      </c>
      <c r="E98" s="2" t="s">
        <v>117</v>
      </c>
    </row>
  </sheetData>
  <mergeCells count="3">
    <mergeCell ref="C2:E2"/>
    <mergeCell ref="H2:AB2"/>
    <mergeCell ref="H19:AB19"/>
  </mergeCells>
  <dataValidations count="2">
    <dataValidation type="list" allowBlank="1" showInputMessage="1" showErrorMessage="1" sqref="D4:D441" xr:uid="{329ED8A8-B04C-5048-BB0C-37880BF3C2BD}">
      <formula1>"PV, Wind"</formula1>
    </dataValidation>
    <dataValidation type="list" allowBlank="1" showInputMessage="1" showErrorMessage="1" sqref="E4:E1048576" xr:uid="{2B705489-DF97-704B-AE30-75907620BD56}">
      <formula1>#REF!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D356F-261A-B741-A0A3-D9069B7B4B1A}">
  <sheetPr codeName="Sheet7">
    <tabColor theme="6" tint="0.39997558519241921"/>
  </sheetPr>
  <dimension ref="B1:Q106"/>
  <sheetViews>
    <sheetView showGridLines="0" zoomScale="83" zoomScaleNormal="90" workbookViewId="0">
      <selection activeCell="D75" sqref="D75"/>
    </sheetView>
  </sheetViews>
  <sheetFormatPr baseColWidth="10" defaultColWidth="11.1640625" defaultRowHeight="16" x14ac:dyDescent="0.2"/>
  <cols>
    <col min="1" max="1" width="11.5" customWidth="1"/>
    <col min="2" max="2" width="9.6640625" style="23" bestFit="1" customWidth="1"/>
    <col min="3" max="3" width="21.83203125" style="2" bestFit="1" customWidth="1"/>
    <col min="4" max="4" width="17.33203125" style="2" customWidth="1"/>
    <col min="5" max="5" width="18.33203125" style="2" bestFit="1" customWidth="1"/>
    <col min="6" max="6" width="21.1640625" style="2" bestFit="1" customWidth="1"/>
    <col min="7" max="7" width="13" style="2" bestFit="1" customWidth="1"/>
    <col min="8" max="8" width="14.33203125" style="2" bestFit="1" customWidth="1"/>
    <col min="9" max="9" width="19.83203125" style="2" bestFit="1" customWidth="1"/>
    <col min="10" max="10" width="17" style="2" bestFit="1" customWidth="1"/>
    <col min="11" max="11" width="19.33203125" style="2" bestFit="1" customWidth="1"/>
    <col min="12" max="12" width="30.6640625" style="2" customWidth="1"/>
    <col min="13" max="13" width="27.1640625" style="2" customWidth="1"/>
    <col min="14" max="14" width="11.5" style="2" bestFit="1" customWidth="1"/>
    <col min="15" max="15" width="11.5" customWidth="1"/>
    <col min="16" max="16" width="2.5" hidden="1" customWidth="1"/>
  </cols>
  <sheetData>
    <row r="1" spans="2:17" ht="70" customHeight="1" x14ac:dyDescent="0.2">
      <c r="B1"/>
      <c r="C1"/>
      <c r="D1"/>
      <c r="E1"/>
      <c r="F1"/>
      <c r="G1"/>
      <c r="H1"/>
      <c r="I1"/>
      <c r="J1"/>
      <c r="K1"/>
      <c r="L1"/>
      <c r="M1"/>
      <c r="N1"/>
    </row>
    <row r="2" spans="2:17" x14ac:dyDescent="0.2">
      <c r="B2"/>
      <c r="C2" s="48" t="s">
        <v>10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2"/>
    </row>
    <row r="3" spans="2:17" x14ac:dyDescent="0.2">
      <c r="B3" s="22" t="s">
        <v>36</v>
      </c>
      <c r="C3" s="5" t="s">
        <v>3</v>
      </c>
      <c r="D3" s="5" t="s">
        <v>55</v>
      </c>
      <c r="E3" s="1" t="s">
        <v>56</v>
      </c>
      <c r="F3" s="1" t="s">
        <v>57</v>
      </c>
      <c r="G3" s="1" t="s">
        <v>58</v>
      </c>
      <c r="H3" s="1" t="s">
        <v>59</v>
      </c>
      <c r="I3" s="1" t="s">
        <v>30</v>
      </c>
      <c r="J3" s="1" t="s">
        <v>60</v>
      </c>
      <c r="K3" s="1" t="s">
        <v>54</v>
      </c>
      <c r="L3" s="1" t="s">
        <v>61</v>
      </c>
      <c r="M3" s="1" t="s">
        <v>62</v>
      </c>
      <c r="N3" s="24" t="s">
        <v>138</v>
      </c>
      <c r="O3" s="7"/>
      <c r="P3" s="1"/>
    </row>
    <row r="4" spans="2:17" x14ac:dyDescent="0.2">
      <c r="B4" s="2" t="s">
        <v>66</v>
      </c>
      <c r="C4" s="2">
        <v>440</v>
      </c>
      <c r="D4" s="2">
        <v>3226.0089686098654</v>
      </c>
      <c r="E4" s="2">
        <v>0.85</v>
      </c>
      <c r="F4" s="2">
        <v>0.85</v>
      </c>
      <c r="G4" s="25">
        <v>0.5</v>
      </c>
      <c r="H4" s="1">
        <v>1</v>
      </c>
      <c r="I4" s="1"/>
      <c r="J4" s="12"/>
      <c r="K4" s="1" t="s">
        <v>146</v>
      </c>
      <c r="L4" s="1"/>
      <c r="M4" s="1"/>
      <c r="N4" s="2" t="s">
        <v>144</v>
      </c>
      <c r="O4" s="46"/>
      <c r="P4" s="1"/>
      <c r="Q4" s="46"/>
    </row>
    <row r="5" spans="2:17" x14ac:dyDescent="0.2">
      <c r="B5" s="2" t="s">
        <v>68</v>
      </c>
      <c r="C5" s="2">
        <v>360</v>
      </c>
      <c r="D5" s="2">
        <v>3693.8435940099826</v>
      </c>
      <c r="E5" s="2">
        <v>0.85</v>
      </c>
      <c r="F5" s="2">
        <v>0.85</v>
      </c>
      <c r="G5" s="25">
        <v>0.5</v>
      </c>
      <c r="H5" s="1">
        <v>1</v>
      </c>
      <c r="I5" s="1"/>
      <c r="J5" s="12"/>
      <c r="K5" s="1" t="s">
        <v>146</v>
      </c>
      <c r="L5" s="1"/>
      <c r="M5" s="1"/>
      <c r="N5" s="2" t="s">
        <v>144</v>
      </c>
      <c r="O5" s="46"/>
      <c r="Q5" s="46"/>
    </row>
    <row r="6" spans="2:17" x14ac:dyDescent="0.2">
      <c r="B6" s="2" t="s">
        <v>71</v>
      </c>
      <c r="C6" s="2">
        <v>2053</v>
      </c>
      <c r="D6" s="2">
        <v>3005155.6027648887</v>
      </c>
      <c r="E6" s="2">
        <v>0.85</v>
      </c>
      <c r="F6" s="2">
        <v>0.85</v>
      </c>
      <c r="G6" s="25">
        <v>0.5</v>
      </c>
      <c r="H6" s="1">
        <v>1</v>
      </c>
      <c r="I6" s="1"/>
      <c r="J6" s="12"/>
      <c r="K6" s="1" t="s">
        <v>146</v>
      </c>
      <c r="L6" s="1"/>
      <c r="M6" s="1"/>
      <c r="N6" s="2" t="s">
        <v>144</v>
      </c>
      <c r="O6" s="46"/>
      <c r="Q6" s="46"/>
    </row>
    <row r="7" spans="2:17" x14ac:dyDescent="0.2">
      <c r="B7" s="2" t="s">
        <v>74</v>
      </c>
      <c r="C7" s="2">
        <v>207</v>
      </c>
      <c r="D7" s="2">
        <v>1123</v>
      </c>
      <c r="E7" s="2">
        <v>0.85</v>
      </c>
      <c r="F7" s="2">
        <v>0.85</v>
      </c>
      <c r="G7" s="25">
        <v>0.5</v>
      </c>
      <c r="H7" s="1">
        <v>1</v>
      </c>
      <c r="J7" s="12"/>
      <c r="K7" s="1" t="s">
        <v>146</v>
      </c>
      <c r="N7" s="2" t="s">
        <v>144</v>
      </c>
      <c r="O7" s="46"/>
      <c r="Q7" s="46"/>
    </row>
    <row r="8" spans="2:17" x14ac:dyDescent="0.2">
      <c r="B8" s="2" t="s">
        <v>76</v>
      </c>
      <c r="C8" s="2">
        <v>123</v>
      </c>
      <c r="D8" s="2">
        <v>738</v>
      </c>
      <c r="E8" s="2">
        <v>0.85</v>
      </c>
      <c r="F8" s="2">
        <v>0.85</v>
      </c>
      <c r="G8" s="25">
        <v>0.5</v>
      </c>
      <c r="H8" s="1">
        <v>1</v>
      </c>
      <c r="J8" s="12"/>
      <c r="K8" s="1" t="s">
        <v>146</v>
      </c>
      <c r="N8" s="2" t="s">
        <v>144</v>
      </c>
      <c r="O8" s="46"/>
      <c r="Q8" s="46"/>
    </row>
    <row r="9" spans="2:17" x14ac:dyDescent="0.2">
      <c r="B9" s="2" t="s">
        <v>77</v>
      </c>
      <c r="C9" s="2">
        <v>465</v>
      </c>
      <c r="D9" s="2">
        <v>2790</v>
      </c>
      <c r="E9" s="2">
        <v>0.85</v>
      </c>
      <c r="F9" s="2">
        <v>0.85</v>
      </c>
      <c r="G9" s="25">
        <v>0.5</v>
      </c>
      <c r="H9" s="1">
        <v>1</v>
      </c>
      <c r="J9" s="12"/>
      <c r="K9" s="1" t="s">
        <v>146</v>
      </c>
      <c r="N9" s="2" t="s">
        <v>144</v>
      </c>
      <c r="O9" s="46"/>
      <c r="Q9" s="46"/>
    </row>
    <row r="10" spans="2:17" x14ac:dyDescent="0.2">
      <c r="B10" s="2" t="s">
        <v>80</v>
      </c>
      <c r="C10" s="2">
        <v>220</v>
      </c>
      <c r="D10" s="2">
        <v>1320</v>
      </c>
      <c r="E10" s="2">
        <v>0.85</v>
      </c>
      <c r="F10" s="2">
        <v>0.85</v>
      </c>
      <c r="G10" s="25">
        <v>0.5</v>
      </c>
      <c r="H10" s="1">
        <v>1</v>
      </c>
      <c r="J10" s="12"/>
      <c r="K10" s="1" t="s">
        <v>146</v>
      </c>
      <c r="N10" s="2" t="s">
        <v>144</v>
      </c>
      <c r="O10" s="46"/>
      <c r="Q10" s="46"/>
    </row>
    <row r="11" spans="2:17" x14ac:dyDescent="0.2">
      <c r="B11" s="2" t="s">
        <v>83</v>
      </c>
      <c r="C11" s="2">
        <v>595</v>
      </c>
      <c r="D11" s="2">
        <v>3570</v>
      </c>
      <c r="E11" s="2">
        <v>0.85</v>
      </c>
      <c r="F11" s="2">
        <v>0.85</v>
      </c>
      <c r="G11" s="25">
        <v>0.5</v>
      </c>
      <c r="H11" s="1">
        <v>1</v>
      </c>
      <c r="J11" s="12"/>
      <c r="K11" s="1" t="s">
        <v>146</v>
      </c>
      <c r="N11" s="2" t="s">
        <v>144</v>
      </c>
      <c r="O11" s="46"/>
      <c r="Q11" s="46"/>
    </row>
    <row r="12" spans="2:17" x14ac:dyDescent="0.2">
      <c r="B12" s="2" t="s">
        <v>87</v>
      </c>
      <c r="C12" s="2">
        <v>1517</v>
      </c>
      <c r="D12" s="2">
        <v>24503.876684511721</v>
      </c>
      <c r="E12" s="2">
        <v>0.85</v>
      </c>
      <c r="F12" s="2">
        <v>0.85</v>
      </c>
      <c r="G12" s="25">
        <v>0.5</v>
      </c>
      <c r="H12" s="1">
        <v>1</v>
      </c>
      <c r="J12" s="12"/>
      <c r="K12" s="1" t="s">
        <v>146</v>
      </c>
      <c r="N12" s="2" t="s">
        <v>144</v>
      </c>
      <c r="O12" s="46"/>
      <c r="Q12" s="46"/>
    </row>
    <row r="13" spans="2:17" x14ac:dyDescent="0.2">
      <c r="B13" s="2" t="s">
        <v>91</v>
      </c>
      <c r="C13" s="2">
        <v>522.1</v>
      </c>
      <c r="D13" s="2">
        <v>26755.65610859729</v>
      </c>
      <c r="E13" s="2">
        <v>0.85</v>
      </c>
      <c r="F13" s="2">
        <v>0.85</v>
      </c>
      <c r="G13" s="25">
        <v>0.5</v>
      </c>
      <c r="H13" s="1">
        <v>1</v>
      </c>
      <c r="J13" s="12"/>
      <c r="K13" s="1" t="s">
        <v>146</v>
      </c>
      <c r="N13" s="2" t="s">
        <v>144</v>
      </c>
      <c r="O13" s="46"/>
      <c r="Q13" s="46"/>
    </row>
    <row r="14" spans="2:17" x14ac:dyDescent="0.2">
      <c r="B14" s="2" t="s">
        <v>92</v>
      </c>
      <c r="C14" s="2">
        <v>242</v>
      </c>
      <c r="D14" s="2">
        <v>1452</v>
      </c>
      <c r="E14" s="2">
        <v>0.85</v>
      </c>
      <c r="F14" s="2">
        <v>0.85</v>
      </c>
      <c r="G14" s="25">
        <v>0.5</v>
      </c>
      <c r="H14" s="1">
        <v>1</v>
      </c>
      <c r="J14" s="12"/>
      <c r="K14" s="1" t="s">
        <v>146</v>
      </c>
      <c r="N14" s="2" t="s">
        <v>144</v>
      </c>
      <c r="O14" s="46"/>
      <c r="Q14" s="46"/>
    </row>
    <row r="15" spans="2:17" x14ac:dyDescent="0.2">
      <c r="B15" s="2" t="s">
        <v>94</v>
      </c>
      <c r="C15" s="2">
        <v>249</v>
      </c>
      <c r="D15" s="2">
        <v>669376.51821862359</v>
      </c>
      <c r="E15" s="2">
        <v>0.85</v>
      </c>
      <c r="F15" s="2">
        <v>0.85</v>
      </c>
      <c r="G15" s="25">
        <v>0.5</v>
      </c>
      <c r="H15" s="1">
        <v>1</v>
      </c>
      <c r="J15" s="12"/>
      <c r="K15" s="1" t="s">
        <v>146</v>
      </c>
      <c r="N15" s="2" t="s">
        <v>144</v>
      </c>
      <c r="O15" s="46"/>
      <c r="Q15" s="46"/>
    </row>
    <row r="16" spans="2:17" x14ac:dyDescent="0.2">
      <c r="B16" s="2" t="s">
        <v>101</v>
      </c>
      <c r="C16" s="2">
        <v>380.34</v>
      </c>
      <c r="D16" s="2">
        <v>1047.2222222222222</v>
      </c>
      <c r="E16" s="2">
        <v>0.85</v>
      </c>
      <c r="F16" s="2">
        <v>0.85</v>
      </c>
      <c r="G16" s="25">
        <v>0.5</v>
      </c>
      <c r="H16" s="1">
        <v>1</v>
      </c>
      <c r="J16" s="12"/>
      <c r="K16" s="1" t="s">
        <v>146</v>
      </c>
      <c r="N16" s="2" t="s">
        <v>144</v>
      </c>
      <c r="O16" s="46"/>
      <c r="Q16" s="46"/>
    </row>
    <row r="17" spans="2:17" x14ac:dyDescent="0.2">
      <c r="B17" s="2" t="s">
        <v>107</v>
      </c>
      <c r="C17" s="2">
        <v>2590</v>
      </c>
      <c r="D17" s="2">
        <v>1653690.7936507936</v>
      </c>
      <c r="E17" s="2">
        <v>0.85</v>
      </c>
      <c r="F17" s="2">
        <v>0.85</v>
      </c>
      <c r="G17" s="25">
        <v>0.5</v>
      </c>
      <c r="H17" s="1">
        <v>1</v>
      </c>
      <c r="J17" s="12"/>
      <c r="K17" s="1" t="s">
        <v>146</v>
      </c>
      <c r="N17" s="2" t="s">
        <v>144</v>
      </c>
      <c r="O17" s="46"/>
      <c r="Q17" s="46"/>
    </row>
    <row r="18" spans="2:17" x14ac:dyDescent="0.2">
      <c r="B18" s="2" t="s">
        <v>111</v>
      </c>
      <c r="C18" s="2">
        <v>515</v>
      </c>
      <c r="D18" s="2">
        <v>5811.2840466926045</v>
      </c>
      <c r="E18" s="2">
        <v>0.85</v>
      </c>
      <c r="F18" s="2">
        <v>0.85</v>
      </c>
      <c r="G18" s="25">
        <v>0.5</v>
      </c>
      <c r="H18" s="1">
        <v>1</v>
      </c>
      <c r="J18" s="12"/>
      <c r="K18" s="1" t="s">
        <v>146</v>
      </c>
      <c r="N18" s="2" t="s">
        <v>144</v>
      </c>
      <c r="O18" s="46"/>
      <c r="Q18" s="46"/>
    </row>
    <row r="19" spans="2:17" x14ac:dyDescent="0.2">
      <c r="B19" s="2" t="s">
        <v>112</v>
      </c>
      <c r="C19" s="2">
        <v>336</v>
      </c>
      <c r="D19" s="2">
        <v>39200.000000000015</v>
      </c>
      <c r="E19" s="2">
        <v>0.85</v>
      </c>
      <c r="F19" s="2">
        <v>0.85</v>
      </c>
      <c r="G19" s="25">
        <v>0.5</v>
      </c>
      <c r="H19" s="1">
        <v>1</v>
      </c>
      <c r="J19" s="12"/>
      <c r="K19" s="1" t="s">
        <v>146</v>
      </c>
      <c r="N19" s="2" t="s">
        <v>144</v>
      </c>
      <c r="O19" s="46"/>
      <c r="Q19" s="46"/>
    </row>
    <row r="20" spans="2:17" x14ac:dyDescent="0.2">
      <c r="B20" s="2" t="s">
        <v>113</v>
      </c>
      <c r="C20" s="2">
        <v>1301</v>
      </c>
      <c r="D20" s="2">
        <v>2752.3809523809527</v>
      </c>
      <c r="E20" s="2">
        <v>0.85</v>
      </c>
      <c r="F20" s="2">
        <v>0.85</v>
      </c>
      <c r="G20" s="25">
        <v>0.5</v>
      </c>
      <c r="H20" s="1">
        <v>1</v>
      </c>
      <c r="J20" s="12"/>
      <c r="K20" s="1" t="s">
        <v>146</v>
      </c>
      <c r="N20" s="2" t="s">
        <v>144</v>
      </c>
      <c r="O20" s="46"/>
      <c r="Q20" s="46"/>
    </row>
    <row r="21" spans="2:17" x14ac:dyDescent="0.2">
      <c r="B21" s="2" t="s">
        <v>65</v>
      </c>
      <c r="C21" s="2">
        <v>196</v>
      </c>
      <c r="D21" s="2">
        <v>1914618.7332756498</v>
      </c>
      <c r="E21" s="2">
        <v>0</v>
      </c>
      <c r="F21" s="2">
        <v>0.85</v>
      </c>
      <c r="G21" s="12"/>
      <c r="H21" s="1">
        <v>0</v>
      </c>
      <c r="J21" s="12"/>
      <c r="K21" s="1" t="s">
        <v>146</v>
      </c>
      <c r="N21" s="2" t="s">
        <v>145</v>
      </c>
    </row>
    <row r="22" spans="2:17" x14ac:dyDescent="0.2">
      <c r="B22" s="2" t="s">
        <v>66</v>
      </c>
      <c r="C22" s="2">
        <v>68</v>
      </c>
      <c r="D22" s="2">
        <v>664255.47889155196</v>
      </c>
      <c r="E22" s="2">
        <v>0</v>
      </c>
      <c r="F22" s="2">
        <v>0.85</v>
      </c>
      <c r="G22" s="12"/>
      <c r="H22" s="1">
        <v>0</v>
      </c>
      <c r="J22" s="12"/>
      <c r="K22" s="1" t="s">
        <v>146</v>
      </c>
      <c r="N22" s="2" t="s">
        <v>145</v>
      </c>
    </row>
    <row r="23" spans="2:17" x14ac:dyDescent="0.2">
      <c r="B23" s="2" t="s">
        <v>68</v>
      </c>
      <c r="C23" s="2">
        <v>130.69999999999999</v>
      </c>
      <c r="D23" s="2">
        <v>314</v>
      </c>
      <c r="E23" s="2">
        <v>0</v>
      </c>
      <c r="F23" s="2">
        <v>0.85</v>
      </c>
      <c r="G23" s="12"/>
      <c r="H23" s="1">
        <v>0</v>
      </c>
      <c r="J23" s="12"/>
      <c r="K23" s="1" t="s">
        <v>146</v>
      </c>
      <c r="N23" s="2" t="s">
        <v>145</v>
      </c>
    </row>
    <row r="24" spans="2:17" x14ac:dyDescent="0.2">
      <c r="B24" s="2" t="s">
        <v>71</v>
      </c>
      <c r="C24" s="2">
        <v>1180</v>
      </c>
      <c r="D24" s="2">
        <v>77264.934336648366</v>
      </c>
      <c r="E24" s="2">
        <v>0</v>
      </c>
      <c r="F24" s="2">
        <v>0.85</v>
      </c>
      <c r="G24" s="12"/>
      <c r="H24" s="1">
        <v>0</v>
      </c>
      <c r="J24" s="12"/>
      <c r="K24" s="1" t="s">
        <v>146</v>
      </c>
      <c r="N24" s="2" t="s">
        <v>145</v>
      </c>
    </row>
    <row r="25" spans="2:17" x14ac:dyDescent="0.2">
      <c r="B25" s="2" t="s">
        <v>72</v>
      </c>
      <c r="C25" s="2">
        <v>848.24</v>
      </c>
      <c r="D25" s="2">
        <v>549688.27160493832</v>
      </c>
      <c r="E25" s="2">
        <v>0</v>
      </c>
      <c r="F25" s="2">
        <v>0.85</v>
      </c>
      <c r="G25" s="12"/>
      <c r="H25" s="1">
        <v>0</v>
      </c>
      <c r="J25" s="12"/>
      <c r="K25" s="1" t="s">
        <v>146</v>
      </c>
      <c r="N25" s="2" t="s">
        <v>145</v>
      </c>
    </row>
    <row r="26" spans="2:17" x14ac:dyDescent="0.2">
      <c r="B26" s="2" t="s">
        <v>74</v>
      </c>
      <c r="C26" s="2">
        <v>41.231999999999999</v>
      </c>
      <c r="D26" s="2">
        <v>76999.999999999971</v>
      </c>
      <c r="E26" s="2">
        <v>0</v>
      </c>
      <c r="F26" s="2">
        <v>0.85</v>
      </c>
      <c r="G26" s="12"/>
      <c r="H26" s="1">
        <v>0</v>
      </c>
      <c r="J26" s="12"/>
      <c r="K26" s="1" t="s">
        <v>146</v>
      </c>
      <c r="N26" s="2" t="s">
        <v>145</v>
      </c>
    </row>
    <row r="27" spans="2:17" x14ac:dyDescent="0.2">
      <c r="B27" s="2" t="s">
        <v>75</v>
      </c>
      <c r="C27" s="2">
        <v>66</v>
      </c>
      <c r="D27" s="2">
        <v>175000.00000000003</v>
      </c>
      <c r="E27" s="2">
        <v>0</v>
      </c>
      <c r="F27" s="2">
        <v>0.85</v>
      </c>
      <c r="G27" s="12"/>
      <c r="H27" s="1">
        <v>0</v>
      </c>
      <c r="J27" s="12"/>
      <c r="K27" s="1" t="s">
        <v>146</v>
      </c>
      <c r="N27" s="2" t="s">
        <v>145</v>
      </c>
    </row>
    <row r="28" spans="2:17" x14ac:dyDescent="0.2">
      <c r="B28" s="2" t="s">
        <v>76</v>
      </c>
      <c r="C28" s="2">
        <v>159</v>
      </c>
      <c r="D28" s="2">
        <v>1553185.6050552465</v>
      </c>
      <c r="E28" s="2">
        <v>0</v>
      </c>
      <c r="F28" s="2">
        <v>0.85</v>
      </c>
      <c r="G28" s="12"/>
      <c r="H28" s="1">
        <v>0</v>
      </c>
      <c r="J28" s="12"/>
      <c r="K28" s="1" t="s">
        <v>146</v>
      </c>
      <c r="N28" s="2" t="s">
        <v>145</v>
      </c>
    </row>
    <row r="29" spans="2:17" x14ac:dyDescent="0.2">
      <c r="B29" s="2" t="s">
        <v>77</v>
      </c>
      <c r="C29" s="2">
        <v>356</v>
      </c>
      <c r="D29" s="2">
        <v>132063.49206349204</v>
      </c>
      <c r="E29" s="2">
        <v>0</v>
      </c>
      <c r="F29" s="2">
        <v>0.85</v>
      </c>
      <c r="G29" s="12"/>
      <c r="H29" s="1">
        <v>0</v>
      </c>
      <c r="J29" s="12"/>
      <c r="K29" s="1" t="s">
        <v>146</v>
      </c>
      <c r="N29" s="2" t="s">
        <v>145</v>
      </c>
    </row>
    <row r="30" spans="2:17" x14ac:dyDescent="0.2">
      <c r="B30" s="2" t="s">
        <v>78</v>
      </c>
      <c r="C30" s="2">
        <v>114</v>
      </c>
      <c r="D30" s="2">
        <v>549</v>
      </c>
      <c r="E30" s="2">
        <v>0</v>
      </c>
      <c r="F30" s="2">
        <v>0.85</v>
      </c>
      <c r="G30" s="12"/>
      <c r="H30" s="1">
        <v>0</v>
      </c>
      <c r="J30" s="12"/>
      <c r="K30" s="1" t="s">
        <v>146</v>
      </c>
      <c r="N30" s="2" t="s">
        <v>145</v>
      </c>
    </row>
    <row r="31" spans="2:17" x14ac:dyDescent="0.2">
      <c r="B31" s="2" t="s">
        <v>80</v>
      </c>
      <c r="C31" s="2">
        <v>91</v>
      </c>
      <c r="D31" s="2">
        <v>1487.4545454545457</v>
      </c>
      <c r="E31" s="2">
        <v>0</v>
      </c>
      <c r="F31" s="2">
        <v>0.85</v>
      </c>
      <c r="G31" s="12"/>
      <c r="H31" s="1">
        <v>0</v>
      </c>
      <c r="J31" s="12"/>
      <c r="K31" s="1" t="s">
        <v>146</v>
      </c>
      <c r="N31" s="2" t="s">
        <v>145</v>
      </c>
    </row>
    <row r="32" spans="2:17" x14ac:dyDescent="0.2">
      <c r="B32" s="2" t="s">
        <v>82</v>
      </c>
      <c r="C32" s="2">
        <v>198</v>
      </c>
      <c r="D32" s="2">
        <v>234000.00000000003</v>
      </c>
      <c r="E32" s="2">
        <v>0</v>
      </c>
      <c r="F32" s="2">
        <v>0.85</v>
      </c>
      <c r="G32" s="12"/>
      <c r="H32" s="1">
        <v>0</v>
      </c>
      <c r="J32" s="12"/>
      <c r="K32" s="1" t="s">
        <v>146</v>
      </c>
      <c r="N32" s="2" t="s">
        <v>145</v>
      </c>
    </row>
    <row r="33" spans="2:14" x14ac:dyDescent="0.2">
      <c r="B33" s="2" t="s">
        <v>83</v>
      </c>
      <c r="C33" s="2">
        <v>1059.5899999999999</v>
      </c>
      <c r="D33" s="2">
        <v>905.99999999999977</v>
      </c>
      <c r="E33" s="2">
        <v>0</v>
      </c>
      <c r="F33" s="2">
        <v>0.85</v>
      </c>
      <c r="G33" s="12"/>
      <c r="H33" s="1">
        <v>0</v>
      </c>
      <c r="J33" s="12"/>
      <c r="K33" s="1" t="s">
        <v>146</v>
      </c>
      <c r="N33" s="2" t="s">
        <v>145</v>
      </c>
    </row>
    <row r="34" spans="2:14" x14ac:dyDescent="0.2">
      <c r="B34" s="2" t="s">
        <v>84</v>
      </c>
      <c r="C34" s="2">
        <v>15</v>
      </c>
      <c r="D34" s="2">
        <v>52999.999999999993</v>
      </c>
      <c r="E34" s="2">
        <v>0</v>
      </c>
      <c r="F34" s="2">
        <v>0.85</v>
      </c>
      <c r="G34" s="12"/>
      <c r="H34" s="1">
        <v>0</v>
      </c>
      <c r="J34" s="12"/>
      <c r="K34" s="1" t="s">
        <v>146</v>
      </c>
      <c r="N34" s="2" t="s">
        <v>145</v>
      </c>
    </row>
    <row r="35" spans="2:14" x14ac:dyDescent="0.2">
      <c r="B35" s="2" t="s">
        <v>85</v>
      </c>
      <c r="C35" s="2">
        <v>161.85</v>
      </c>
      <c r="D35" s="2">
        <v>1581025.7243911424</v>
      </c>
      <c r="E35" s="2">
        <v>0</v>
      </c>
      <c r="F35" s="2">
        <v>0.85</v>
      </c>
      <c r="G35" s="12"/>
      <c r="H35" s="1">
        <v>0</v>
      </c>
      <c r="J35" s="12"/>
      <c r="K35" s="1" t="s">
        <v>146</v>
      </c>
      <c r="N35" s="2" t="s">
        <v>145</v>
      </c>
    </row>
    <row r="36" spans="2:14" x14ac:dyDescent="0.2">
      <c r="B36" s="2" t="s">
        <v>87</v>
      </c>
      <c r="C36" s="2">
        <v>594.91000000000008</v>
      </c>
      <c r="D36" s="2">
        <v>5811356.2786378423</v>
      </c>
      <c r="E36" s="2">
        <v>0</v>
      </c>
      <c r="F36" s="2">
        <v>0.85</v>
      </c>
      <c r="G36" s="12"/>
      <c r="H36" s="1">
        <v>0</v>
      </c>
      <c r="J36" s="12"/>
      <c r="K36" s="1" t="s">
        <v>146</v>
      </c>
      <c r="N36" s="2" t="s">
        <v>145</v>
      </c>
    </row>
    <row r="37" spans="2:14" x14ac:dyDescent="0.2">
      <c r="B37" s="2" t="s">
        <v>89</v>
      </c>
      <c r="C37" s="2">
        <v>39.854999999999997</v>
      </c>
      <c r="D37" s="2">
        <v>389322.08987092355</v>
      </c>
      <c r="E37" s="2">
        <v>0</v>
      </c>
      <c r="F37" s="2">
        <v>0.85</v>
      </c>
      <c r="G37" s="12"/>
      <c r="H37" s="1">
        <v>0</v>
      </c>
      <c r="J37" s="12"/>
      <c r="K37" s="1" t="s">
        <v>146</v>
      </c>
      <c r="N37" s="2" t="s">
        <v>145</v>
      </c>
    </row>
    <row r="38" spans="2:14" x14ac:dyDescent="0.2">
      <c r="B38" s="2" t="s">
        <v>90</v>
      </c>
      <c r="C38" s="2">
        <v>76</v>
      </c>
      <c r="D38" s="2">
        <v>68930.232558139527</v>
      </c>
      <c r="E38" s="2">
        <v>0</v>
      </c>
      <c r="F38" s="2">
        <v>0.85</v>
      </c>
      <c r="G38" s="12"/>
      <c r="H38" s="1">
        <v>0</v>
      </c>
      <c r="J38" s="12"/>
      <c r="K38" s="1" t="s">
        <v>146</v>
      </c>
      <c r="N38" s="2" t="s">
        <v>145</v>
      </c>
    </row>
    <row r="39" spans="2:14" x14ac:dyDescent="0.2">
      <c r="B39" s="2" t="s">
        <v>91</v>
      </c>
      <c r="C39" s="2">
        <v>547.01</v>
      </c>
      <c r="D39" s="2">
        <v>340045.45454545453</v>
      </c>
      <c r="E39" s="2">
        <v>0</v>
      </c>
      <c r="F39" s="2">
        <v>0.85</v>
      </c>
      <c r="G39" s="12"/>
      <c r="H39" s="1">
        <v>0</v>
      </c>
      <c r="J39" s="12"/>
      <c r="K39" s="1" t="s">
        <v>146</v>
      </c>
      <c r="N39" s="2" t="s">
        <v>145</v>
      </c>
    </row>
    <row r="40" spans="2:14" x14ac:dyDescent="0.2">
      <c r="B40" s="2" t="s">
        <v>92</v>
      </c>
      <c r="C40" s="2">
        <v>1509</v>
      </c>
      <c r="D40" s="2">
        <v>1021895.9489069269</v>
      </c>
      <c r="E40" s="2">
        <v>0</v>
      </c>
      <c r="F40" s="2">
        <v>0.85</v>
      </c>
      <c r="G40" s="12"/>
      <c r="H40" s="1">
        <v>0</v>
      </c>
      <c r="J40" s="12"/>
      <c r="K40" s="1" t="s">
        <v>146</v>
      </c>
      <c r="N40" s="2" t="s">
        <v>145</v>
      </c>
    </row>
    <row r="41" spans="2:14" x14ac:dyDescent="0.2">
      <c r="B41" s="2" t="s">
        <v>94</v>
      </c>
      <c r="C41" s="2">
        <v>498</v>
      </c>
      <c r="D41" s="2">
        <v>873725.88235294109</v>
      </c>
      <c r="E41" s="2">
        <v>0</v>
      </c>
      <c r="F41" s="2">
        <v>0.85</v>
      </c>
      <c r="G41" s="12"/>
      <c r="H41" s="1">
        <v>0</v>
      </c>
      <c r="J41" s="12"/>
      <c r="K41" s="1" t="s">
        <v>146</v>
      </c>
      <c r="N41" s="2" t="s">
        <v>145</v>
      </c>
    </row>
    <row r="42" spans="2:14" x14ac:dyDescent="0.2">
      <c r="B42" s="2" t="s">
        <v>95</v>
      </c>
      <c r="C42" s="2">
        <v>1458.96</v>
      </c>
      <c r="D42" s="2">
        <v>50842.696629213504</v>
      </c>
      <c r="E42" s="2">
        <v>0</v>
      </c>
      <c r="F42" s="2">
        <v>0.85</v>
      </c>
      <c r="G42" s="12"/>
      <c r="H42" s="1">
        <v>0</v>
      </c>
      <c r="J42" s="12"/>
      <c r="K42" s="1" t="s">
        <v>146</v>
      </c>
      <c r="N42" s="2" t="s">
        <v>145</v>
      </c>
    </row>
    <row r="43" spans="2:14" x14ac:dyDescent="0.2">
      <c r="B43" s="2" t="s">
        <v>96</v>
      </c>
      <c r="C43" s="2">
        <v>113.85</v>
      </c>
      <c r="D43" s="2">
        <v>1112139.5039971056</v>
      </c>
      <c r="E43" s="2">
        <v>0</v>
      </c>
      <c r="F43" s="2">
        <v>0.85</v>
      </c>
      <c r="G43" s="12"/>
      <c r="H43" s="1">
        <v>0</v>
      </c>
      <c r="J43" s="12"/>
      <c r="K43" s="1" t="s">
        <v>146</v>
      </c>
      <c r="N43" s="2" t="s">
        <v>145</v>
      </c>
    </row>
    <row r="44" spans="2:14" x14ac:dyDescent="0.2">
      <c r="B44" s="2" t="s">
        <v>97</v>
      </c>
      <c r="C44" s="2">
        <v>15</v>
      </c>
      <c r="D44" s="2">
        <v>86000</v>
      </c>
      <c r="E44" s="2">
        <v>0</v>
      </c>
      <c r="F44" s="2">
        <v>0.85</v>
      </c>
      <c r="G44" s="12"/>
      <c r="H44" s="1">
        <v>0</v>
      </c>
      <c r="J44" s="12"/>
      <c r="K44" s="1" t="s">
        <v>146</v>
      </c>
      <c r="N44" s="2" t="s">
        <v>145</v>
      </c>
    </row>
    <row r="45" spans="2:14" x14ac:dyDescent="0.2">
      <c r="B45" s="2" t="s">
        <v>101</v>
      </c>
      <c r="C45" s="2">
        <v>90</v>
      </c>
      <c r="D45" s="2">
        <v>279000</v>
      </c>
      <c r="E45" s="2">
        <v>0</v>
      </c>
      <c r="F45" s="2">
        <v>0.85</v>
      </c>
      <c r="G45" s="12"/>
      <c r="H45" s="1">
        <v>0</v>
      </c>
      <c r="J45" s="12"/>
      <c r="K45" s="1" t="s">
        <v>146</v>
      </c>
      <c r="N45" s="2" t="s">
        <v>145</v>
      </c>
    </row>
    <row r="46" spans="2:14" x14ac:dyDescent="0.2">
      <c r="B46" s="2" t="s">
        <v>103</v>
      </c>
      <c r="C46" s="2">
        <v>123</v>
      </c>
      <c r="D46" s="2">
        <v>251999.99999999997</v>
      </c>
      <c r="E46" s="2">
        <v>0</v>
      </c>
      <c r="F46" s="2">
        <v>0.85</v>
      </c>
      <c r="G46" s="12"/>
      <c r="H46" s="1">
        <v>0</v>
      </c>
      <c r="J46" s="12"/>
      <c r="K46" s="1" t="s">
        <v>146</v>
      </c>
      <c r="N46" s="2" t="s">
        <v>145</v>
      </c>
    </row>
    <row r="47" spans="2:14" x14ac:dyDescent="0.2">
      <c r="B47" s="2" t="s">
        <v>104</v>
      </c>
      <c r="C47" s="2">
        <v>5</v>
      </c>
      <c r="D47" s="2">
        <v>48842.314624378821</v>
      </c>
      <c r="E47" s="2">
        <v>0</v>
      </c>
      <c r="F47" s="2">
        <v>0.85</v>
      </c>
      <c r="G47" s="12"/>
      <c r="H47" s="1">
        <v>0</v>
      </c>
      <c r="J47" s="12"/>
      <c r="K47" s="1" t="s">
        <v>146</v>
      </c>
      <c r="N47" s="2" t="s">
        <v>145</v>
      </c>
    </row>
    <row r="48" spans="2:14" x14ac:dyDescent="0.2">
      <c r="B48" s="2" t="s">
        <v>105</v>
      </c>
      <c r="C48" s="2">
        <v>97</v>
      </c>
      <c r="D48" s="2">
        <v>947540.90371294913</v>
      </c>
      <c r="E48" s="2">
        <v>0</v>
      </c>
      <c r="F48" s="2">
        <v>0.85</v>
      </c>
      <c r="G48" s="12"/>
      <c r="H48" s="1">
        <v>0</v>
      </c>
      <c r="J48" s="12"/>
      <c r="K48" s="1" t="s">
        <v>146</v>
      </c>
      <c r="N48" s="2" t="s">
        <v>145</v>
      </c>
    </row>
    <row r="49" spans="2:15" x14ac:dyDescent="0.2">
      <c r="B49" s="2" t="s">
        <v>107</v>
      </c>
      <c r="C49" s="2">
        <v>772</v>
      </c>
      <c r="D49" s="2">
        <v>1264191.9853446302</v>
      </c>
      <c r="E49" s="2">
        <v>0</v>
      </c>
      <c r="F49" s="2">
        <v>0.85</v>
      </c>
      <c r="G49" s="12"/>
      <c r="H49" s="1">
        <v>0</v>
      </c>
      <c r="J49" s="12"/>
      <c r="K49" s="1" t="s">
        <v>146</v>
      </c>
      <c r="N49" s="2" t="s">
        <v>145</v>
      </c>
    </row>
    <row r="50" spans="2:15" x14ac:dyDescent="0.2">
      <c r="B50" s="2" t="s">
        <v>108</v>
      </c>
      <c r="C50" s="2">
        <v>87.2</v>
      </c>
      <c r="D50" s="2">
        <v>66260</v>
      </c>
      <c r="E50" s="2">
        <v>0</v>
      </c>
      <c r="F50" s="2">
        <v>0.85</v>
      </c>
      <c r="G50" s="12"/>
      <c r="H50" s="1">
        <v>0</v>
      </c>
      <c r="J50" s="12"/>
      <c r="K50" s="1" t="s">
        <v>146</v>
      </c>
      <c r="N50" s="2" t="s">
        <v>145</v>
      </c>
    </row>
    <row r="51" spans="2:15" x14ac:dyDescent="0.2">
      <c r="B51" s="2" t="s">
        <v>109</v>
      </c>
      <c r="C51" s="2">
        <v>3.4</v>
      </c>
      <c r="D51" s="2">
        <v>5567.6849095488888</v>
      </c>
      <c r="E51" s="2">
        <v>0</v>
      </c>
      <c r="F51" s="2">
        <v>0.85</v>
      </c>
      <c r="G51" s="12"/>
      <c r="H51" s="1">
        <v>0</v>
      </c>
      <c r="J51" s="12"/>
      <c r="K51" s="1" t="s">
        <v>146</v>
      </c>
      <c r="N51" s="2" t="s">
        <v>145</v>
      </c>
    </row>
    <row r="52" spans="2:15" x14ac:dyDescent="0.2">
      <c r="B52" s="2" t="s">
        <v>110</v>
      </c>
      <c r="C52" s="2">
        <v>395.6</v>
      </c>
      <c r="D52" s="2">
        <v>498799.99999999994</v>
      </c>
      <c r="E52" s="2">
        <v>0</v>
      </c>
      <c r="F52" s="2">
        <v>0.85</v>
      </c>
      <c r="G52" s="12"/>
      <c r="H52" s="1">
        <v>0</v>
      </c>
      <c r="J52" s="12"/>
      <c r="K52" s="1" t="s">
        <v>146</v>
      </c>
      <c r="N52" s="2" t="s">
        <v>145</v>
      </c>
    </row>
    <row r="53" spans="2:15" x14ac:dyDescent="0.2">
      <c r="B53" s="2" t="s">
        <v>111</v>
      </c>
      <c r="C53" s="2">
        <v>47.1</v>
      </c>
      <c r="D53" s="2">
        <v>9800.0000000000018</v>
      </c>
      <c r="E53" s="2">
        <v>0</v>
      </c>
      <c r="F53" s="2">
        <v>0.85</v>
      </c>
      <c r="G53" s="12"/>
      <c r="H53" s="1">
        <v>0</v>
      </c>
      <c r="J53" s="12"/>
      <c r="K53" s="1" t="s">
        <v>146</v>
      </c>
      <c r="N53" s="2" t="s">
        <v>145</v>
      </c>
    </row>
    <row r="54" spans="2:15" x14ac:dyDescent="0.2">
      <c r="B54" s="2" t="s">
        <v>112</v>
      </c>
      <c r="C54" s="2">
        <v>98</v>
      </c>
      <c r="D54" s="2">
        <v>160480.32974582093</v>
      </c>
      <c r="E54" s="2">
        <v>0</v>
      </c>
      <c r="F54" s="2">
        <v>0.85</v>
      </c>
      <c r="G54" s="12"/>
      <c r="H54" s="1">
        <v>0</v>
      </c>
      <c r="J54" s="12"/>
      <c r="K54" s="1" t="s">
        <v>146</v>
      </c>
      <c r="N54" s="2" t="s">
        <v>145</v>
      </c>
    </row>
    <row r="55" spans="2:15" x14ac:dyDescent="0.2">
      <c r="B55" s="2" t="s">
        <v>113</v>
      </c>
      <c r="C55" s="2">
        <v>361</v>
      </c>
      <c r="D55" s="2">
        <v>115599.99999999997</v>
      </c>
      <c r="E55" s="2">
        <v>0</v>
      </c>
      <c r="F55" s="2">
        <v>0.85</v>
      </c>
      <c r="G55" s="12"/>
      <c r="H55" s="1">
        <v>0</v>
      </c>
      <c r="J55" s="12"/>
      <c r="K55" s="1" t="s">
        <v>146</v>
      </c>
      <c r="N55" s="2" t="s">
        <v>145</v>
      </c>
    </row>
    <row r="56" spans="2:15" x14ac:dyDescent="0.2">
      <c r="B56" s="52" t="s">
        <v>82</v>
      </c>
      <c r="C56" s="52">
        <v>1289.2729999999999</v>
      </c>
      <c r="D56" s="52">
        <v>8573.6669999999995</v>
      </c>
      <c r="E56" s="52">
        <v>0.95</v>
      </c>
      <c r="F56" s="52">
        <v>0.95</v>
      </c>
      <c r="G56" s="54">
        <v>0.5</v>
      </c>
      <c r="H56" s="53">
        <v>0</v>
      </c>
      <c r="I56" s="52"/>
      <c r="J56" s="55"/>
      <c r="K56" s="53" t="s">
        <v>146</v>
      </c>
      <c r="L56" s="52"/>
      <c r="M56" s="52"/>
      <c r="N56" s="52" t="s">
        <v>149</v>
      </c>
      <c r="O56" s="56"/>
    </row>
    <row r="57" spans="2:15" x14ac:dyDescent="0.2">
      <c r="B57" s="52" t="s">
        <v>85</v>
      </c>
      <c r="C57" s="52">
        <v>264.78899999999999</v>
      </c>
      <c r="D57" s="52">
        <v>1455.076</v>
      </c>
      <c r="E57" s="52">
        <v>0.95</v>
      </c>
      <c r="F57" s="52">
        <v>0.95</v>
      </c>
      <c r="G57" s="54">
        <v>0.5</v>
      </c>
      <c r="H57" s="53">
        <v>0</v>
      </c>
      <c r="I57" s="52"/>
      <c r="J57" s="55"/>
      <c r="K57" s="53" t="s">
        <v>146</v>
      </c>
      <c r="L57" s="52"/>
      <c r="M57" s="52"/>
      <c r="N57" s="52" t="s">
        <v>149</v>
      </c>
      <c r="O57" s="56"/>
    </row>
    <row r="58" spans="2:15" x14ac:dyDescent="0.2">
      <c r="B58" s="52" t="s">
        <v>86</v>
      </c>
      <c r="C58" s="52">
        <v>306.851</v>
      </c>
      <c r="D58" s="52">
        <v>1749.0530000000001</v>
      </c>
      <c r="E58" s="52">
        <v>0.95</v>
      </c>
      <c r="F58" s="52">
        <v>0.95</v>
      </c>
      <c r="G58" s="54">
        <v>0.5</v>
      </c>
      <c r="H58" s="53">
        <v>0</v>
      </c>
      <c r="I58" s="52"/>
      <c r="J58" s="55"/>
      <c r="K58" s="53" t="s">
        <v>146</v>
      </c>
      <c r="L58" s="52"/>
      <c r="M58" s="52"/>
      <c r="N58" s="52" t="s">
        <v>149</v>
      </c>
      <c r="O58" s="56"/>
    </row>
    <row r="59" spans="2:15" x14ac:dyDescent="0.2">
      <c r="B59" s="52" t="s">
        <v>88</v>
      </c>
      <c r="C59" s="52">
        <v>791.27499999999998</v>
      </c>
      <c r="D59" s="52">
        <v>3758.5549999999998</v>
      </c>
      <c r="E59" s="52">
        <v>0.95</v>
      </c>
      <c r="F59" s="52">
        <v>0.95</v>
      </c>
      <c r="G59" s="54">
        <v>0.5</v>
      </c>
      <c r="H59" s="53">
        <v>0</v>
      </c>
      <c r="I59" s="52"/>
      <c r="J59" s="55"/>
      <c r="K59" s="53" t="s">
        <v>146</v>
      </c>
      <c r="L59" s="52"/>
      <c r="M59" s="52"/>
      <c r="N59" s="52" t="s">
        <v>149</v>
      </c>
      <c r="O59" s="56"/>
    </row>
    <row r="60" spans="2:15" x14ac:dyDescent="0.2">
      <c r="B60" s="52" t="s">
        <v>93</v>
      </c>
      <c r="C60" s="52">
        <v>287.91699999999997</v>
      </c>
      <c r="D60" s="52">
        <v>1641.1289999999999</v>
      </c>
      <c r="E60" s="52">
        <v>0.95</v>
      </c>
      <c r="F60" s="52">
        <v>0.95</v>
      </c>
      <c r="G60" s="54">
        <v>0.5</v>
      </c>
      <c r="H60" s="53">
        <v>0</v>
      </c>
      <c r="I60" s="52"/>
      <c r="J60" s="55"/>
      <c r="K60" s="53" t="s">
        <v>146</v>
      </c>
      <c r="L60" s="52"/>
      <c r="M60" s="52"/>
      <c r="N60" s="52" t="s">
        <v>149</v>
      </c>
      <c r="O60" s="56"/>
    </row>
    <row r="61" spans="2:15" x14ac:dyDescent="0.2">
      <c r="B61" s="52" t="s">
        <v>94</v>
      </c>
      <c r="C61" s="52">
        <v>1264.807</v>
      </c>
      <c r="D61" s="52">
        <v>7209.402</v>
      </c>
      <c r="E61" s="52">
        <v>0.95</v>
      </c>
      <c r="F61" s="52">
        <v>0.95</v>
      </c>
      <c r="G61" s="54">
        <v>0.5</v>
      </c>
      <c r="H61" s="53">
        <v>0</v>
      </c>
      <c r="I61" s="52"/>
      <c r="J61" s="55"/>
      <c r="K61" s="53" t="s">
        <v>146</v>
      </c>
      <c r="L61" s="52"/>
      <c r="M61" s="52"/>
      <c r="N61" s="52" t="s">
        <v>149</v>
      </c>
      <c r="O61" s="56"/>
    </row>
    <row r="62" spans="2:15" x14ac:dyDescent="0.2">
      <c r="B62" s="52" t="s">
        <v>97</v>
      </c>
      <c r="C62" s="52">
        <v>520.65099999999995</v>
      </c>
      <c r="D62" s="52">
        <v>2967.13</v>
      </c>
      <c r="E62" s="52">
        <v>0.95</v>
      </c>
      <c r="F62" s="52">
        <v>0.95</v>
      </c>
      <c r="G62" s="54">
        <v>0.5</v>
      </c>
      <c r="H62" s="53">
        <v>0</v>
      </c>
      <c r="I62" s="52"/>
      <c r="J62" s="55"/>
      <c r="K62" s="53" t="s">
        <v>146</v>
      </c>
      <c r="L62" s="52"/>
      <c r="M62" s="52"/>
      <c r="N62" s="52" t="s">
        <v>149</v>
      </c>
      <c r="O62" s="56"/>
    </row>
    <row r="63" spans="2:15" x14ac:dyDescent="0.2">
      <c r="B63" s="52" t="s">
        <v>100</v>
      </c>
      <c r="C63" s="52">
        <v>1316.9939999999999</v>
      </c>
      <c r="D63" s="52">
        <v>7129.8549999999996</v>
      </c>
      <c r="E63" s="52">
        <v>0.95</v>
      </c>
      <c r="F63" s="52">
        <v>0.95</v>
      </c>
      <c r="G63" s="54">
        <v>0.5</v>
      </c>
      <c r="H63" s="53">
        <v>0</v>
      </c>
      <c r="I63" s="52"/>
      <c r="J63" s="55"/>
      <c r="K63" s="53" t="s">
        <v>146</v>
      </c>
      <c r="L63" s="52"/>
      <c r="M63" s="52"/>
      <c r="N63" s="52" t="s">
        <v>149</v>
      </c>
      <c r="O63" s="56"/>
    </row>
    <row r="64" spans="2:15" x14ac:dyDescent="0.2">
      <c r="B64" s="52" t="s">
        <v>102</v>
      </c>
      <c r="C64" s="52">
        <v>2727.4580000000001</v>
      </c>
      <c r="D64" s="52">
        <v>15795.677</v>
      </c>
      <c r="E64" s="52">
        <v>0.95</v>
      </c>
      <c r="F64" s="52">
        <v>0.95</v>
      </c>
      <c r="G64" s="54">
        <v>0.5</v>
      </c>
      <c r="H64" s="53">
        <v>0</v>
      </c>
      <c r="I64" s="52"/>
      <c r="J64" s="55"/>
      <c r="K64" s="53" t="s">
        <v>146</v>
      </c>
      <c r="L64" s="52"/>
      <c r="M64" s="52"/>
      <c r="N64" s="52" t="s">
        <v>149</v>
      </c>
      <c r="O64" s="56"/>
    </row>
    <row r="65" spans="2:15" x14ac:dyDescent="0.2">
      <c r="B65" s="57"/>
      <c r="C65" s="52"/>
      <c r="D65" s="52"/>
      <c r="E65" s="52"/>
      <c r="F65" s="52"/>
      <c r="G65" s="54"/>
      <c r="H65" s="53"/>
      <c r="I65" s="52"/>
      <c r="J65" s="55"/>
      <c r="K65" s="53"/>
      <c r="L65" s="52"/>
      <c r="M65" s="52"/>
      <c r="N65" s="52"/>
      <c r="O65" s="56"/>
    </row>
    <row r="66" spans="2:15" x14ac:dyDescent="0.2">
      <c r="B66" s="57"/>
      <c r="C66" s="52"/>
      <c r="D66" s="52"/>
      <c r="E66" s="52"/>
      <c r="F66" s="52"/>
      <c r="G66" s="54"/>
      <c r="H66" s="53"/>
      <c r="I66" s="52"/>
      <c r="J66" s="55"/>
      <c r="K66" s="53"/>
      <c r="L66" s="52"/>
      <c r="M66" s="52"/>
      <c r="N66" s="52"/>
      <c r="O66" s="56"/>
    </row>
    <row r="67" spans="2:15" x14ac:dyDescent="0.2">
      <c r="B67" s="57"/>
      <c r="C67" s="52"/>
      <c r="D67" s="52"/>
      <c r="E67" s="52"/>
      <c r="F67" s="52"/>
      <c r="G67" s="54"/>
      <c r="H67" s="53"/>
      <c r="I67" s="52"/>
      <c r="J67" s="55"/>
      <c r="K67" s="53"/>
      <c r="L67" s="52"/>
      <c r="M67" s="52"/>
      <c r="N67" s="52"/>
      <c r="O67" s="56"/>
    </row>
    <row r="68" spans="2:15" x14ac:dyDescent="0.2">
      <c r="B68" s="57"/>
      <c r="C68" s="52"/>
      <c r="D68" s="52"/>
      <c r="E68" s="52"/>
      <c r="F68" s="52"/>
      <c r="G68" s="54"/>
      <c r="H68" s="53"/>
      <c r="I68" s="52"/>
      <c r="J68" s="55"/>
      <c r="K68" s="53"/>
      <c r="L68" s="52"/>
      <c r="M68" s="52"/>
      <c r="N68" s="52"/>
      <c r="O68" s="56"/>
    </row>
    <row r="69" spans="2:15" x14ac:dyDescent="0.2">
      <c r="B69" s="57"/>
      <c r="C69" s="52"/>
      <c r="D69" s="52"/>
      <c r="E69" s="52"/>
      <c r="F69" s="52"/>
      <c r="G69" s="54"/>
      <c r="H69" s="53"/>
      <c r="I69" s="52"/>
      <c r="J69" s="55"/>
      <c r="K69" s="53"/>
      <c r="L69" s="52"/>
      <c r="M69" s="52"/>
      <c r="N69" s="52"/>
      <c r="O69" s="56"/>
    </row>
    <row r="70" spans="2:15" x14ac:dyDescent="0.2">
      <c r="B70" s="57"/>
      <c r="C70" s="52"/>
      <c r="D70" s="52"/>
      <c r="E70" s="52"/>
      <c r="F70" s="52"/>
      <c r="G70" s="54"/>
      <c r="H70" s="53"/>
      <c r="I70" s="52"/>
      <c r="J70" s="55"/>
      <c r="K70" s="53"/>
      <c r="L70" s="52"/>
      <c r="M70" s="52"/>
      <c r="N70" s="52"/>
      <c r="O70" s="56"/>
    </row>
    <row r="71" spans="2:15" x14ac:dyDescent="0.2">
      <c r="B71" s="57"/>
      <c r="C71" s="52"/>
      <c r="D71" s="52"/>
      <c r="E71" s="52"/>
      <c r="F71" s="52"/>
      <c r="G71" s="54"/>
      <c r="H71" s="53"/>
      <c r="I71" s="52"/>
      <c r="J71" s="55"/>
      <c r="K71" s="53"/>
      <c r="L71" s="52"/>
      <c r="M71" s="52"/>
      <c r="N71" s="52"/>
      <c r="O71" s="56"/>
    </row>
    <row r="72" spans="2:15" x14ac:dyDescent="0.2">
      <c r="B72" s="57"/>
      <c r="C72" s="52"/>
      <c r="D72" s="52"/>
      <c r="E72" s="52"/>
      <c r="F72" s="52"/>
      <c r="G72" s="54"/>
      <c r="H72" s="53"/>
      <c r="I72" s="52"/>
      <c r="J72" s="55"/>
      <c r="K72" s="53"/>
      <c r="L72" s="52"/>
      <c r="M72" s="52"/>
      <c r="N72" s="52"/>
      <c r="O72" s="56"/>
    </row>
    <row r="73" spans="2:15" x14ac:dyDescent="0.2">
      <c r="B73" s="57"/>
      <c r="C73" s="52"/>
      <c r="D73" s="52"/>
      <c r="E73" s="52"/>
      <c r="F73" s="52"/>
      <c r="G73" s="54"/>
      <c r="H73" s="53"/>
      <c r="I73" s="52"/>
      <c r="J73" s="55"/>
      <c r="K73" s="53"/>
      <c r="L73" s="52"/>
      <c r="M73" s="52"/>
      <c r="N73" s="52"/>
      <c r="O73" s="56"/>
    </row>
    <row r="74" spans="2:15" x14ac:dyDescent="0.2">
      <c r="B74" s="57"/>
      <c r="C74" s="52"/>
      <c r="D74" s="52"/>
      <c r="E74" s="52"/>
      <c r="F74" s="52"/>
      <c r="G74" s="54"/>
      <c r="H74" s="53"/>
      <c r="I74" s="52"/>
      <c r="J74" s="55"/>
      <c r="K74" s="53"/>
      <c r="L74" s="52"/>
      <c r="M74" s="52"/>
      <c r="N74" s="52"/>
      <c r="O74" s="56"/>
    </row>
    <row r="75" spans="2:15" x14ac:dyDescent="0.2">
      <c r="B75" s="57"/>
      <c r="C75" s="52"/>
      <c r="D75" s="52"/>
      <c r="E75" s="52"/>
      <c r="F75" s="52"/>
      <c r="G75" s="54"/>
      <c r="H75" s="53"/>
      <c r="I75" s="52"/>
      <c r="J75" s="55"/>
      <c r="K75" s="53"/>
      <c r="L75" s="52"/>
      <c r="M75" s="52"/>
      <c r="N75" s="52"/>
      <c r="O75" s="56"/>
    </row>
    <row r="76" spans="2:15" x14ac:dyDescent="0.2">
      <c r="B76" s="57"/>
      <c r="C76" s="52"/>
      <c r="D76" s="52"/>
      <c r="E76" s="52"/>
      <c r="F76" s="52"/>
      <c r="G76" s="54"/>
      <c r="H76" s="53"/>
      <c r="I76" s="52"/>
      <c r="J76" s="55"/>
      <c r="K76" s="53"/>
      <c r="L76" s="52"/>
      <c r="M76" s="52"/>
      <c r="N76" s="52"/>
      <c r="O76" s="56"/>
    </row>
    <row r="77" spans="2:15" x14ac:dyDescent="0.2">
      <c r="B77" s="57"/>
      <c r="C77" s="52"/>
      <c r="D77" s="52"/>
      <c r="E77" s="52"/>
      <c r="F77" s="52"/>
      <c r="G77" s="54"/>
      <c r="H77" s="53"/>
      <c r="I77" s="52"/>
      <c r="J77" s="55"/>
      <c r="K77" s="53"/>
      <c r="L77" s="52"/>
      <c r="M77" s="52"/>
      <c r="N77" s="52"/>
      <c r="O77" s="56"/>
    </row>
    <row r="78" spans="2:15" x14ac:dyDescent="0.2">
      <c r="B78" s="57"/>
      <c r="C78" s="52"/>
      <c r="D78" s="52"/>
      <c r="E78" s="52"/>
      <c r="F78" s="52"/>
      <c r="G78" s="54"/>
      <c r="H78" s="53"/>
      <c r="I78" s="52"/>
      <c r="J78" s="55"/>
      <c r="K78" s="53"/>
      <c r="L78" s="52"/>
      <c r="M78" s="52"/>
      <c r="N78" s="52"/>
      <c r="O78" s="56"/>
    </row>
    <row r="79" spans="2:15" x14ac:dyDescent="0.2">
      <c r="B79" s="57"/>
      <c r="C79" s="52"/>
      <c r="D79" s="52"/>
      <c r="E79" s="52"/>
      <c r="F79" s="52"/>
      <c r="G79" s="54"/>
      <c r="H79" s="53"/>
      <c r="I79" s="52"/>
      <c r="J79" s="55"/>
      <c r="K79" s="53"/>
      <c r="L79" s="52"/>
      <c r="M79" s="52"/>
      <c r="N79" s="52"/>
      <c r="O79" s="56"/>
    </row>
    <row r="80" spans="2:15" x14ac:dyDescent="0.2">
      <c r="B80" s="57"/>
      <c r="C80" s="52"/>
      <c r="D80" s="52"/>
      <c r="E80" s="52"/>
      <c r="F80" s="52"/>
      <c r="G80" s="54"/>
      <c r="H80" s="53"/>
      <c r="I80" s="52"/>
      <c r="J80" s="55"/>
      <c r="K80" s="53"/>
      <c r="L80" s="52"/>
      <c r="M80" s="52"/>
      <c r="N80" s="52"/>
      <c r="O80" s="56"/>
    </row>
    <row r="81" spans="2:15" x14ac:dyDescent="0.2">
      <c r="B81" s="57"/>
      <c r="C81" s="52"/>
      <c r="D81" s="52"/>
      <c r="E81" s="52"/>
      <c r="F81" s="52"/>
      <c r="G81" s="54"/>
      <c r="H81" s="53"/>
      <c r="I81" s="52"/>
      <c r="J81" s="55"/>
      <c r="K81" s="53"/>
      <c r="L81" s="52"/>
      <c r="M81" s="52"/>
      <c r="N81" s="52"/>
      <c r="O81" s="56"/>
    </row>
    <row r="82" spans="2:15" x14ac:dyDescent="0.2">
      <c r="B82" s="57"/>
      <c r="C82" s="52"/>
      <c r="D82" s="52"/>
      <c r="E82" s="52"/>
      <c r="F82" s="52"/>
      <c r="G82" s="54"/>
      <c r="H82" s="53"/>
      <c r="I82" s="52"/>
      <c r="J82" s="55"/>
      <c r="K82" s="53"/>
      <c r="L82" s="52"/>
      <c r="M82" s="52"/>
      <c r="N82" s="52"/>
      <c r="O82" s="56"/>
    </row>
    <row r="83" spans="2:15" x14ac:dyDescent="0.2">
      <c r="B83" s="57"/>
      <c r="C83" s="52"/>
      <c r="D83" s="52"/>
      <c r="E83" s="52"/>
      <c r="F83" s="52"/>
      <c r="G83" s="54"/>
      <c r="H83" s="53"/>
      <c r="I83" s="52"/>
      <c r="J83" s="55"/>
      <c r="K83" s="53"/>
      <c r="L83" s="52"/>
      <c r="M83" s="52"/>
      <c r="N83" s="52"/>
      <c r="O83" s="56"/>
    </row>
    <row r="84" spans="2:15" x14ac:dyDescent="0.2">
      <c r="B84" s="57"/>
      <c r="C84" s="52"/>
      <c r="D84" s="52"/>
      <c r="E84" s="52"/>
      <c r="F84" s="52"/>
      <c r="G84" s="54"/>
      <c r="H84" s="53"/>
      <c r="I84" s="52"/>
      <c r="J84" s="55"/>
      <c r="K84" s="53"/>
      <c r="L84" s="52"/>
      <c r="M84" s="52"/>
      <c r="N84" s="52"/>
      <c r="O84" s="56"/>
    </row>
    <row r="85" spans="2:15" x14ac:dyDescent="0.2">
      <c r="B85" s="57"/>
      <c r="C85" s="52"/>
      <c r="D85" s="52"/>
      <c r="E85" s="52"/>
      <c r="F85" s="52"/>
      <c r="G85" s="54"/>
      <c r="H85" s="53"/>
      <c r="I85" s="52"/>
      <c r="J85" s="55"/>
      <c r="K85" s="53"/>
      <c r="L85" s="52"/>
      <c r="M85" s="52"/>
      <c r="N85" s="52"/>
      <c r="O85" s="56"/>
    </row>
    <row r="86" spans="2:15" x14ac:dyDescent="0.2">
      <c r="B86" s="57"/>
      <c r="C86" s="52"/>
      <c r="D86" s="52"/>
      <c r="E86" s="52"/>
      <c r="F86" s="52"/>
      <c r="G86" s="54"/>
      <c r="H86" s="53"/>
      <c r="I86" s="52"/>
      <c r="J86" s="55"/>
      <c r="K86" s="53"/>
      <c r="L86" s="52"/>
      <c r="M86" s="52"/>
      <c r="N86" s="52"/>
      <c r="O86" s="56"/>
    </row>
    <row r="87" spans="2:15" x14ac:dyDescent="0.2">
      <c r="B87" s="57"/>
      <c r="C87" s="52"/>
      <c r="D87" s="52"/>
      <c r="E87" s="52"/>
      <c r="F87" s="52"/>
      <c r="G87" s="54"/>
      <c r="H87" s="53"/>
      <c r="I87" s="52"/>
      <c r="J87" s="55"/>
      <c r="K87" s="53"/>
      <c r="L87" s="52"/>
      <c r="M87" s="52"/>
      <c r="N87" s="52"/>
      <c r="O87" s="56"/>
    </row>
    <row r="88" spans="2:15" x14ac:dyDescent="0.2">
      <c r="B88" s="57"/>
      <c r="C88" s="52"/>
      <c r="D88" s="52"/>
      <c r="E88" s="52"/>
      <c r="F88" s="52"/>
      <c r="G88" s="54"/>
      <c r="H88" s="53"/>
      <c r="I88" s="52"/>
      <c r="J88" s="55"/>
      <c r="K88" s="53"/>
      <c r="L88" s="52"/>
      <c r="M88" s="52"/>
      <c r="N88" s="52"/>
      <c r="O88" s="56"/>
    </row>
    <row r="89" spans="2:15" x14ac:dyDescent="0.2">
      <c r="B89" s="57"/>
      <c r="C89" s="52"/>
      <c r="D89" s="52"/>
      <c r="E89" s="52"/>
      <c r="F89" s="52"/>
      <c r="G89" s="54"/>
      <c r="H89" s="53"/>
      <c r="I89" s="52"/>
      <c r="J89" s="55"/>
      <c r="K89" s="53"/>
      <c r="L89" s="52"/>
      <c r="M89" s="52"/>
      <c r="N89" s="52"/>
      <c r="O89" s="56"/>
    </row>
    <row r="90" spans="2:15" x14ac:dyDescent="0.2">
      <c r="B90" s="57"/>
      <c r="C90" s="52"/>
      <c r="D90" s="52"/>
      <c r="E90" s="52"/>
      <c r="F90" s="52"/>
      <c r="G90" s="54"/>
      <c r="H90" s="53"/>
      <c r="I90" s="52"/>
      <c r="J90" s="55"/>
      <c r="K90" s="53"/>
      <c r="L90" s="52"/>
      <c r="M90" s="52"/>
      <c r="N90" s="52"/>
      <c r="O90" s="56"/>
    </row>
    <row r="91" spans="2:15" x14ac:dyDescent="0.2">
      <c r="B91" s="57"/>
      <c r="C91" s="52"/>
      <c r="D91" s="52"/>
      <c r="E91" s="52"/>
      <c r="F91" s="52"/>
      <c r="G91" s="54"/>
      <c r="H91" s="53"/>
      <c r="I91" s="52"/>
      <c r="J91" s="55"/>
      <c r="K91" s="53"/>
      <c r="L91" s="52"/>
      <c r="M91" s="52"/>
      <c r="N91" s="52"/>
      <c r="O91" s="56"/>
    </row>
    <row r="92" spans="2:15" x14ac:dyDescent="0.2">
      <c r="B92" s="57"/>
      <c r="C92" s="52"/>
      <c r="D92" s="52"/>
      <c r="E92" s="52"/>
      <c r="F92" s="52"/>
      <c r="G92" s="54"/>
      <c r="H92" s="53"/>
      <c r="I92" s="52"/>
      <c r="J92" s="55"/>
      <c r="K92" s="53"/>
      <c r="L92" s="52"/>
      <c r="M92" s="52"/>
      <c r="N92" s="52"/>
      <c r="O92" s="56"/>
    </row>
    <row r="93" spans="2:15" x14ac:dyDescent="0.2">
      <c r="B93" s="57"/>
      <c r="C93" s="52"/>
      <c r="D93" s="52"/>
      <c r="E93" s="52"/>
      <c r="F93" s="52"/>
      <c r="G93" s="54"/>
      <c r="H93" s="53"/>
      <c r="I93" s="52"/>
      <c r="J93" s="55"/>
      <c r="K93" s="53"/>
      <c r="L93" s="52"/>
      <c r="M93" s="52"/>
      <c r="N93" s="52"/>
      <c r="O93" s="56"/>
    </row>
    <row r="94" spans="2:15" x14ac:dyDescent="0.2">
      <c r="B94" s="57"/>
      <c r="C94" s="52"/>
      <c r="D94" s="52"/>
      <c r="E94" s="52"/>
      <c r="F94" s="52"/>
      <c r="G94" s="54"/>
      <c r="H94" s="53"/>
      <c r="I94" s="52"/>
      <c r="J94" s="55"/>
      <c r="K94" s="53"/>
      <c r="L94" s="52"/>
      <c r="M94" s="52"/>
      <c r="N94" s="52"/>
      <c r="O94" s="56"/>
    </row>
    <row r="95" spans="2:15" x14ac:dyDescent="0.2">
      <c r="B95" s="57"/>
      <c r="C95" s="52"/>
      <c r="D95" s="52"/>
      <c r="E95" s="52"/>
      <c r="F95" s="52"/>
      <c r="G95" s="54"/>
      <c r="H95" s="53"/>
      <c r="I95" s="52"/>
      <c r="J95" s="55"/>
      <c r="K95" s="53"/>
      <c r="L95" s="52"/>
      <c r="M95" s="52"/>
      <c r="N95" s="52"/>
      <c r="O95" s="56"/>
    </row>
    <row r="96" spans="2:15" x14ac:dyDescent="0.2">
      <c r="B96" s="57"/>
      <c r="C96" s="52"/>
      <c r="D96" s="52"/>
      <c r="E96" s="52"/>
      <c r="F96" s="52"/>
      <c r="G96" s="54"/>
      <c r="H96" s="53"/>
      <c r="I96" s="52"/>
      <c r="J96" s="55"/>
      <c r="K96" s="53"/>
      <c r="L96" s="52"/>
      <c r="M96" s="52"/>
      <c r="N96" s="52"/>
      <c r="O96" s="56"/>
    </row>
    <row r="97" spans="2:15" x14ac:dyDescent="0.2">
      <c r="B97" s="57"/>
      <c r="C97" s="52"/>
      <c r="D97" s="52"/>
      <c r="E97" s="52"/>
      <c r="F97" s="52"/>
      <c r="G97" s="54"/>
      <c r="H97" s="53"/>
      <c r="I97" s="52"/>
      <c r="J97" s="55"/>
      <c r="K97" s="53"/>
      <c r="L97" s="52"/>
      <c r="M97" s="52"/>
      <c r="N97" s="52"/>
      <c r="O97" s="56"/>
    </row>
    <row r="98" spans="2:15" x14ac:dyDescent="0.2">
      <c r="B98" s="57"/>
      <c r="C98" s="52"/>
      <c r="D98" s="52"/>
      <c r="E98" s="52"/>
      <c r="F98" s="52"/>
      <c r="G98" s="54"/>
      <c r="H98" s="53"/>
      <c r="I98" s="52"/>
      <c r="J98" s="55"/>
      <c r="K98" s="53"/>
      <c r="L98" s="52"/>
      <c r="M98" s="52"/>
      <c r="N98" s="52"/>
      <c r="O98" s="56"/>
    </row>
    <row r="99" spans="2:15" x14ac:dyDescent="0.2">
      <c r="B99" s="57"/>
      <c r="C99" s="52"/>
      <c r="D99" s="52"/>
      <c r="E99" s="52"/>
      <c r="F99" s="52"/>
      <c r="G99" s="54"/>
      <c r="H99" s="53"/>
      <c r="I99" s="52"/>
      <c r="J99" s="55"/>
      <c r="K99" s="53"/>
      <c r="L99" s="52"/>
      <c r="M99" s="52"/>
      <c r="N99" s="52"/>
      <c r="O99" s="56"/>
    </row>
    <row r="100" spans="2:15" x14ac:dyDescent="0.2">
      <c r="B100" s="57"/>
      <c r="C100" s="52"/>
      <c r="D100" s="52"/>
      <c r="E100" s="52"/>
      <c r="F100" s="52"/>
      <c r="G100" s="54"/>
      <c r="H100" s="53"/>
      <c r="I100" s="52"/>
      <c r="J100" s="55"/>
      <c r="K100" s="53"/>
      <c r="L100" s="52"/>
      <c r="M100" s="52"/>
      <c r="N100" s="52"/>
      <c r="O100" s="56"/>
    </row>
    <row r="101" spans="2:15" x14ac:dyDescent="0.2">
      <c r="B101" s="57"/>
      <c r="C101" s="52"/>
      <c r="D101" s="52"/>
      <c r="E101" s="52"/>
      <c r="F101" s="52"/>
      <c r="G101" s="54"/>
      <c r="H101" s="53"/>
      <c r="I101" s="52"/>
      <c r="J101" s="55"/>
      <c r="K101" s="53"/>
      <c r="L101" s="52"/>
      <c r="M101" s="52"/>
      <c r="N101" s="52"/>
      <c r="O101" s="56"/>
    </row>
    <row r="102" spans="2:15" x14ac:dyDescent="0.2">
      <c r="B102" s="57"/>
      <c r="C102" s="52"/>
      <c r="D102" s="52"/>
      <c r="E102" s="52"/>
      <c r="F102" s="52"/>
      <c r="G102" s="54"/>
      <c r="H102" s="53"/>
      <c r="I102" s="52"/>
      <c r="J102" s="55"/>
      <c r="K102" s="53"/>
      <c r="L102" s="52"/>
      <c r="M102" s="52"/>
      <c r="N102" s="52"/>
      <c r="O102" s="56"/>
    </row>
    <row r="103" spans="2:15" x14ac:dyDescent="0.2">
      <c r="B103" s="57"/>
      <c r="C103" s="52"/>
      <c r="D103" s="52"/>
      <c r="E103" s="52"/>
      <c r="F103" s="52"/>
      <c r="G103" s="54"/>
      <c r="H103" s="53"/>
      <c r="I103" s="52"/>
      <c r="J103" s="55"/>
      <c r="K103" s="53"/>
      <c r="L103" s="52"/>
      <c r="M103" s="52"/>
      <c r="N103" s="52"/>
      <c r="O103" s="56"/>
    </row>
    <row r="104" spans="2:15" x14ac:dyDescent="0.2">
      <c r="B104" s="57"/>
      <c r="C104" s="52"/>
      <c r="D104" s="52"/>
      <c r="E104" s="52"/>
      <c r="F104" s="52"/>
      <c r="G104" s="54"/>
      <c r="H104" s="53"/>
      <c r="I104" s="52"/>
      <c r="J104" s="55"/>
      <c r="K104" s="53"/>
      <c r="L104" s="52"/>
      <c r="M104" s="52"/>
      <c r="N104" s="52"/>
      <c r="O104" s="56"/>
    </row>
    <row r="105" spans="2:15" x14ac:dyDescent="0.2">
      <c r="B105" s="58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6"/>
    </row>
    <row r="106" spans="2:15" x14ac:dyDescent="0.2">
      <c r="B106" s="58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6"/>
    </row>
  </sheetData>
  <mergeCells count="1">
    <mergeCell ref="C2:N2"/>
  </mergeCells>
  <dataValidations count="3">
    <dataValidation type="list" allowBlank="1" showInputMessage="1" showErrorMessage="1" sqref="K4:K1048576" xr:uid="{2CC8A806-C616-DC45-A40B-9EC7FA2E4D5E}">
      <formula1>"Fixed, Optimize MWh, Optimize MW, Optimize both"</formula1>
    </dataValidation>
    <dataValidation type="list" allowBlank="1" showInputMessage="1" showErrorMessage="1" sqref="N4:N1048576" xr:uid="{55579949-45F9-134A-ACAC-707D11CD8872}">
      <formula1>"PHS, hydro, BatteryStore"</formula1>
    </dataValidation>
    <dataValidation type="list" allowBlank="1" showInputMessage="1" showErrorMessage="1" sqref="H4:H1110" xr:uid="{FFB9847E-AD12-0647-9B64-7D7CB1648887}">
      <formula1>IF($B4&lt;&gt;"",$P$3:$P$4)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Net_Buses</vt:lpstr>
      <vt:lpstr>Net_Lines</vt:lpstr>
      <vt:lpstr>Grid_connection</vt:lpstr>
      <vt:lpstr>Gen_Dispatchable</vt:lpstr>
      <vt:lpstr>Gen_PV_and_Wind</vt:lpstr>
      <vt:lpstr>StorageUnit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Villaverde</dc:creator>
  <cp:lastModifiedBy>Eduardo Villaverde</cp:lastModifiedBy>
  <dcterms:created xsi:type="dcterms:W3CDTF">2026-02-28T09:50:53Z</dcterms:created>
  <dcterms:modified xsi:type="dcterms:W3CDTF">2026-06-15T14:12:00Z</dcterms:modified>
</cp:coreProperties>
</file>